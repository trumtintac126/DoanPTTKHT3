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over" sheetId="1" r:id="rId3"/>
    <sheet state="visible" name="Test case List" sheetId="2" r:id="rId4"/>
    <sheet state="visible" name="Test Report" sheetId="3" r:id="rId5"/>
    <sheet state="visible" name="Login-Logout" sheetId="4" r:id="rId6"/>
    <sheet state="visible" name="Quản lí công dân theo khu vực" sheetId="5" r:id="rId7"/>
    <sheet state="visible" name="Quản lý công dân tạm trú tạm vắ" sheetId="6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11">
      <text>
        <t xml:space="preserve">*A: Add
  M: Modify
  D: Delete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8">
      <text>
        <t xml:space="preserve">Pass
Fail
Untested
N/A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8">
      <text>
        <t xml:space="preserve">Pass
Fail
Untested
N/A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8">
      <text>
        <t xml:space="preserve">Pass
Fail
Untested
N/A
</t>
      </text>
    </comment>
  </commentList>
</comments>
</file>

<file path=xl/sharedStrings.xml><?xml version="1.0" encoding="utf-8"?>
<sst xmlns="http://schemas.openxmlformats.org/spreadsheetml/2006/main" count="1252" uniqueCount="637">
  <si>
    <t>TEST CASE LIST</t>
  </si>
  <si>
    <t>Project Name</t>
  </si>
  <si>
    <t>TEST CASE</t>
  </si>
  <si>
    <t>TEST REPORT</t>
  </si>
  <si>
    <t>Hệ thống quản lí hồ sơ công dân điện tử</t>
  </si>
  <si>
    <t>Creator</t>
  </si>
  <si>
    <t>AD05</t>
  </si>
  <si>
    <t>Project Code</t>
  </si>
  <si>
    <t>Reviewer/Approver</t>
  </si>
  <si>
    <t>Test Environment Setup Description</t>
  </si>
  <si>
    <t>Document Code</t>
  </si>
  <si>
    <t>1, Server: tomcat 8.0
2, Browser: google chrome 49</t>
  </si>
  <si>
    <t>Issue Date</t>
  </si>
  <si>
    <t>Notes</t>
  </si>
  <si>
    <t>No</t>
  </si>
  <si>
    <t>Function Name</t>
  </si>
  <si>
    <t>Version</t>
  </si>
  <si>
    <t>3.0</t>
  </si>
  <si>
    <t>Sheet Name</t>
  </si>
  <si>
    <t>Description</t>
  </si>
  <si>
    <t>Pre-Condition</t>
  </si>
  <si>
    <t>Function - Tìm kiếm công dân theo khu vực</t>
  </si>
  <si>
    <t>Record of change</t>
  </si>
  <si>
    <t>Quản lí công dân theo khu vực</t>
  </si>
  <si>
    <t>Module code</t>
  </si>
  <si>
    <t>Check GUI và FUNC chức năng tiềm kiếm công dân theo khu vực</t>
  </si>
  <si>
    <t>Pass</t>
  </si>
  <si>
    <t>Fail</t>
  </si>
  <si>
    <t>Untested</t>
  </si>
  <si>
    <t>N/A</t>
  </si>
  <si>
    <t>Number of  test cases</t>
  </si>
  <si>
    <t>Effective Date</t>
  </si>
  <si>
    <t>Change Item</t>
  </si>
  <si>
    <t>Function - Chỉnh sửa thông tin công dân</t>
  </si>
  <si>
    <t>Function - Thêm mới công dân</t>
  </si>
  <si>
    <t>*A,D,M</t>
  </si>
  <si>
    <t>Change description</t>
  </si>
  <si>
    <t>Reference</t>
  </si>
  <si>
    <t>Function - Khóa công dân</t>
  </si>
  <si>
    <t>Function - Xem chi tiết thông tin công dân</t>
  </si>
  <si>
    <t>Function - Hiển thị danh sách tạm 
 trú tạm vắng</t>
  </si>
  <si>
    <t>Check GUI và FUNC chức năng chỉnh sửa thông tin 
 công dân</t>
  </si>
  <si>
    <t>Function - Thêm công dân tạm trú
 tạm vắng</t>
  </si>
  <si>
    <t>Check GUI và FUNC chức năng thêm công dân</t>
  </si>
  <si>
    <t>Function - Chỉnh sửa công dân 
 tạm trú tạm vắng</t>
  </si>
  <si>
    <t>Check GUI và FUNC chức năng khóa công dân</t>
  </si>
  <si>
    <t>Function - Tìm kiếm công dân tạm 
 trú tạm vắng</t>
  </si>
  <si>
    <t>Check GUI và FUNC chức năng xem thông tin
 chi tiết</t>
  </si>
  <si>
    <t>Function - Thêm công dân có tiền
 án tiền sự</t>
  </si>
  <si>
    <t>Quản lí Công dân tạm trú tạm 
 vắng theo khu vực</t>
  </si>
  <si>
    <t>Check GUI và FUNC chức năng hiển thị danh sách
 tạm trú tạm vắng</t>
  </si>
  <si>
    <t>Function - Chỉnh sửa công dân có 
 tiền án tiền sự</t>
  </si>
  <si>
    <t>Function - Tìm kiếm công dân có 
 tiền án tiền sự</t>
  </si>
  <si>
    <t>Check GUI và FUNC chức năng thêm công dân
 tạm trú tạm vắng</t>
  </si>
  <si>
    <t>Function - Hiển thị danh sách lấy ý
 kiến công dân</t>
  </si>
  <si>
    <t>1.0</t>
  </si>
  <si>
    <t>Check GUI và FUNC chức năng chỉnh sửa công dân
 tạm trú tạm vắng</t>
  </si>
  <si>
    <t>Function- Xem chi tiết và trả lời 
 cho công dân</t>
  </si>
  <si>
    <t>Check GUI và FUNC chức năng tìm kiếm công dân
 tạm trú tạm vắng</t>
  </si>
  <si>
    <t>A</t>
  </si>
  <si>
    <t>-</t>
  </si>
  <si>
    <t>Function- Tìm kiếm ý kiến của 
 công dân</t>
  </si>
  <si>
    <t>Function - Hiển thị danh sách công
 dân có tiền án tiền sự</t>
  </si>
  <si>
    <t>Quản lí Công dân có tiền án
 tiền sự</t>
  </si>
  <si>
    <t>Check GUI và FUNC chức năng hiển thị danhsách công dân có tiền án tiền sự</t>
  </si>
  <si>
    <t>Function -Thống kê tỉ lệ giới tính</t>
  </si>
  <si>
    <t>Function - Thống kê đăng kí tạm trú 
 tạm vắng của địa phương qua các 
 năm</t>
  </si>
  <si>
    <t>Function - Đăng kí</t>
  </si>
  <si>
    <t>Check GUI và FUNC chức năng thêm công dâncó tiền án tiền sự</t>
  </si>
  <si>
    <t>Function - Đăng nhập</t>
  </si>
  <si>
    <t>Check GUI và FUNC chức năng chỉnh sửa thông tin 
 công dân có tiền án tiền sự</t>
  </si>
  <si>
    <t>Function - Quên mật khẩu</t>
  </si>
  <si>
    <t>Check GUI và FUNC chức năng tìm kiếm thông tin 
 công dân có tiền án tiền sự</t>
  </si>
  <si>
    <t>Function - Thay đổi mật khẩu</t>
  </si>
  <si>
    <t>QL Phản hồi ý kiến công dân</t>
  </si>
  <si>
    <t>Check GUI và FUNC chức năng hiển thị danh sách</t>
  </si>
  <si>
    <t>Function - Xem thông tin cá nhân</t>
  </si>
  <si>
    <t>2.0</t>
  </si>
  <si>
    <t>Check GUI và FUNC chức năng xem chi tiết vàtrả lời cho công dân</t>
  </si>
  <si>
    <t>Function - Chỉnh sửa thông tin
 cá nhân</t>
  </si>
  <si>
    <t>Check GUI và FUNC chức năng tìm kiếm công dân</t>
  </si>
  <si>
    <t>Function - Quản lý tạm trú</t>
  </si>
  <si>
    <t>Thống kê các chỉ tiêu</t>
  </si>
  <si>
    <t>Check GUI và FUNC chức năng so sánh tỉ lệ giớitính</t>
  </si>
  <si>
    <t>Function - Quản lý tạm vắng</t>
  </si>
  <si>
    <t>Check GUI và FUNC chức năng thống kê tạm trútạm vắng qua các năm tại địa phương</t>
  </si>
  <si>
    <t>Function - Danh sách chuyển giao</t>
  </si>
  <si>
    <t>QL Tài khoản</t>
  </si>
  <si>
    <t>Check GUI và FUNC chức năng đăng kí</t>
  </si>
  <si>
    <t>Check GUI và FUNC chức năng đăng nhập</t>
  </si>
  <si>
    <t>Check GUI và FUNC chức năng quên mật khẩu</t>
  </si>
  <si>
    <t>Check GUI và FUNC chức năng thay đổi mật khẩu</t>
  </si>
  <si>
    <t>Function - Góp ý</t>
  </si>
  <si>
    <t>Check GUI và FUNC chức năng xem thông tin 
 cá nhân</t>
  </si>
  <si>
    <t>Check GUI và FUNC chức năng chỉnh sửa thông 
 tin cá nhân</t>
  </si>
  <si>
    <t>QL Giấy tờ</t>
  </si>
  <si>
    <t>Check GUI và FUNC chức năng quản lý tạm trú</t>
  </si>
  <si>
    <t>Sub total</t>
  </si>
  <si>
    <t>Check GUI và FUNC chức năng quản lý tạm vắng</t>
  </si>
  <si>
    <t>Check GUI và FUNC chức năng danh sách chuyển
 giao</t>
  </si>
  <si>
    <t>QL Cổng góp ý</t>
  </si>
  <si>
    <t>Check GUI và FUNC chức năng góp ý</t>
  </si>
  <si>
    <t>Function - Trang chủ khách</t>
  </si>
  <si>
    <t>Người dùng</t>
  </si>
  <si>
    <t>Check GUI trang chủ khách</t>
  </si>
  <si>
    <t>Function - Trang chủ thành viên</t>
  </si>
  <si>
    <t>Check GUI trang chủ thành viên</t>
  </si>
  <si>
    <t>Quản lý thông tin cá nhân Admin</t>
  </si>
  <si>
    <t>Check GUI trang Admin</t>
  </si>
  <si>
    <t>Test coverage</t>
  </si>
  <si>
    <t>%</t>
  </si>
  <si>
    <t>Test successful coverage</t>
  </si>
  <si>
    <t>Module Code</t>
  </si>
  <si>
    <t>LG</t>
  </si>
  <si>
    <t>Test requirement</t>
  </si>
  <si>
    <t>Mô tả cho các ca sử dụng: Đăng nhập, Đăng xuất.</t>
  </si>
  <si>
    <t>Tester</t>
  </si>
  <si>
    <t>Lê Thị Thu Trà</t>
  </si>
  <si>
    <t>Number of Test cases</t>
  </si>
  <si>
    <t>Untesed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</si>
  <si>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</si>
  <si>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</si>
  <si>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</si>
  <si>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</si>
  <si>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</si>
  <si>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</si>
  <si>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</si>
  <si>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</si>
  <si>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Check GUI - Đăng Nhập</t>
  </si>
  <si>
    <t xml:space="preserve">[Username] username input
</t>
  </si>
  <si>
    <t>- Status = enabled
- Default = blank</t>
  </si>
  <si>
    <t>[Password] password input</t>
  </si>
  <si>
    <t>- Status = enabled
- Default = blank
- Khi gõ các kí tự hiển thị dấu *</t>
  </si>
  <si>
    <t>[Đăng nhập] submit button</t>
  </si>
  <si>
    <t>- Status = enabled</t>
  </si>
  <si>
    <t>[Trở về trang chủ] reset button</t>
  </si>
  <si>
    <t>Check FUNC - Đăng nhập</t>
  </si>
  <si>
    <t>Đăng nhập khi không có input</t>
  </si>
  <si>
    <t>Tại trang chủ:
1, Không nhập gì ở [Username] và [Password]
2, Nhấn [Đăng nhập]</t>
  </si>
  <si>
    <r>
      <t>2, Báo lỗi "</t>
    </r>
    <r>
      <rPr>
        <rFont val="Tahoma"/>
        <i/>
        <color rgb="FFFF0000"/>
        <sz val="10.0"/>
      </rPr>
      <t>Đăng nhập thất bại</t>
    </r>
    <r>
      <rPr>
        <rFont val="Tahoma"/>
        <sz val="10.0"/>
      </rPr>
      <t>", kèm theo hiển thị màn hình Đăng nhập.</t>
    </r>
  </si>
  <si>
    <t>Đăng nhập khi input chỉ toàn các kí tự trống</t>
  </si>
  <si>
    <t>Tại trang Đăng nhập:
1, Chỉ nhập các kí tự trống [Username] và [Password]
2, nhấn [Đăng nhập]</t>
  </si>
  <si>
    <r>
      <t>2, Báo lỗi "</t>
    </r>
    <r>
      <rPr>
        <rFont val="Tahoma"/>
        <i/>
        <color rgb="FFFF0000"/>
        <sz val="10.0"/>
      </rPr>
      <t>Dữ liệu nhập vào không hợp lệ, xin nhập lại</t>
    </r>
    <r>
      <rPr>
        <rFont val="Tahoma"/>
        <sz val="10.0"/>
      </rPr>
      <t>", kèm theo hiển thị lại màn hình Đăng nhập.</t>
    </r>
  </si>
  <si>
    <t>Đăng nhập thiếu thông tin</t>
  </si>
  <si>
    <t>Tại trang Đăng nhập:
1, Chỉ nhập [Username] và bỏ trống [Password]
2, Nhấn [Đăng nhập]</t>
  </si>
  <si>
    <r>
      <t>2, Báo lỗi "</t>
    </r>
    <r>
      <rPr>
        <rFont val="Tahoma"/>
        <i/>
        <color rgb="FFFF0000"/>
        <sz val="10.0"/>
      </rPr>
      <t>Dữ liệu nhập vào không hợp lệ, xin nhập lại</t>
    </r>
    <r>
      <rPr>
        <rFont val="Tahoma"/>
        <sz val="10.0"/>
      </rPr>
      <t>", kèm theo hiển thị lại màn hình Đăng nhập.</t>
    </r>
  </si>
  <si>
    <t>Đăng nhập đủ thông tin, tài khoản không tồn tại trong hệ thống</t>
  </si>
  <si>
    <t>Tại trang Đăng nhập:
1, Nhập [Username] = "abcdef", [Password] = "123456"
2, Nhấn [Đăng nhập]</t>
  </si>
  <si>
    <r>
      <t>2, Báo lỗi "</t>
    </r>
    <r>
      <rPr>
        <rFont val="Tahoma"/>
        <i/>
        <color rgb="FFFF0000"/>
        <sz val="10.0"/>
      </rPr>
      <t>Đăng nhập thất bại</t>
    </r>
    <r>
      <rPr>
        <rFont val="Tahoma"/>
        <sz val="10.0"/>
      </rPr>
      <t>", kèm theo hiển thị lại màn hình Đăng nhập.</t>
    </r>
  </si>
  <si>
    <t>Trong bảng STAFF không tồn tại record có [StaffId] = 'abcdef'</t>
  </si>
  <si>
    <t>Đăng nhập thành công</t>
  </si>
  <si>
    <t>Tại trang Đăng nhập:
1, Nhập [Tài khoản] = "admin",
[Mật khẩu] = "admin"
2, Nhấn [Đăng nhập]</t>
  </si>
  <si>
    <t>2. Chuyển đến màn hình chính với giao diện dành cho người dùng đã đăng nhập, cho phép sử dụng chức năng Đăng xuất.</t>
  </si>
  <si>
    <t>Trong bảng STAFF tồn tại record có [StaffId] = 'admin', [Password] = 'admin'</t>
  </si>
  <si>
    <t>Đăng nhập khi mật khẩu không khớp với tài khoản</t>
  </si>
  <si>
    <t>Tại trang Đăng nhập:
1, Nhập [Username] = "admin",
[Password] = "123456"
2, Nhấn [Đăng nhập]</t>
  </si>
  <si>
    <r>
      <t>2, Báo lỗi "</t>
    </r>
    <r>
      <rPr>
        <rFont val="Tahoma"/>
        <i/>
        <color rgb="FFFF0000"/>
        <sz val="10.0"/>
      </rPr>
      <t>Đăng nhập thất bại</t>
    </r>
    <r>
      <rPr>
        <rFont val="Tahoma"/>
        <sz val="10.0"/>
      </rPr>
      <t>", kèm theo hiển thị lại màn hình Đăng nhập.</t>
    </r>
  </si>
  <si>
    <t>Tại màn hình trang đăng nhập:
1, Nhập [Username] = "abcdef", [Password] = "123456"
2, Nhấn [Đăng nhập]</t>
  </si>
  <si>
    <r>
      <t>2, Báo lỗi "</t>
    </r>
    <r>
      <rPr>
        <rFont val="Tahoma"/>
        <i/>
        <color rgb="FFFF0000"/>
        <sz val="10.0"/>
      </rPr>
      <t>Đăng nhập thất bại</t>
    </r>
    <r>
      <rPr>
        <rFont val="Tahoma"/>
        <sz val="10.0"/>
      </rPr>
      <t>", kèm theo hiển thị lại màn hình Đăng nhập.</t>
    </r>
  </si>
  <si>
    <t>Check GUI - Đăng xuất (khi đã đăng nhập)</t>
  </si>
  <si>
    <t>[Thoát] - link button</t>
  </si>
  <si>
    <t>nút [Thoát] xuất hiện ở góc trái bên trên màn hình</t>
  </si>
  <si>
    <t>[GUI-LG-5]</t>
  </si>
  <si>
    <t xml:space="preserve">[Thay đổi mật khẩu] - dropdown </t>
  </si>
  <si>
    <t>nút sổ [Thay đổi mật khẩu] xuất hiện ở góc trái bên trên màn hình khi click chuột vào avatar</t>
  </si>
  <si>
    <t xml:space="preserve">[Thay đổi thông tin cá nhân] - dropdown </t>
  </si>
  <si>
    <t>nút sổ [Thay đổi thông tin cá nhân] xuất hiện ở góc trái bên trên màn hình khi nhấn chuột vào avatar</t>
  </si>
  <si>
    <t>Check FUNC - Đăng xuất</t>
  </si>
  <si>
    <t>Thực hiện đăng xuất</t>
  </si>
  <si>
    <t>Tại trang chủ:
1, Nhấn lên nút [Thoát]</t>
  </si>
  <si>
    <t>1, Tiến hành đăng xuất và quay lại trang chủ với giao diện dành cho người dùng chưa đăng nhập</t>
  </si>
  <si>
    <t>Đã đăng nhập thành công</t>
  </si>
  <si>
    <t>Quản lí công dân tạm trú tạm vắng</t>
  </si>
  <si>
    <t>Mô tả cho các ca sử dụng: Hiên thị , thêm công dân , chỉnh sửa công dân , tìm kiếm công dân.</t>
  </si>
  <si>
    <t>Nguyễn Mạnh Trí</t>
  </si>
  <si>
    <t>Test requipment</t>
  </si>
  <si>
    <t>Mô tả công dân cho các ca sử dụng: tìm kiếm công dân theo khu vực,thêm công dân,chỉnh sửa thông tin công dân, khóa công dân, xem chi tiết thông tin công dân</t>
  </si>
  <si>
    <t>Kiểm tra giao diện - Hiển thị</t>
  </si>
  <si>
    <t>GUI-SU-01</t>
  </si>
  <si>
    <t>Inter-case Dependence</t>
  </si>
  <si>
    <t>[Result]Grid</t>
  </si>
  <si>
    <t>Format: 10 bản ghi trong 1 trang</t>
  </si>
  <si>
    <t>Check GUI-Tìm kiếm công dân theo khu vực</t>
  </si>
  <si>
    <t>[Mã số]Column</t>
  </si>
  <si>
    <t>Lấy dữ liệu từ cột Id</t>
  </si>
  <si>
    <t>GUI-TKCDCD-1</t>
  </si>
  <si>
    <t>[Name]Column</t>
  </si>
  <si>
    <t>Lấy dữ liệu từ cột FullName</t>
  </si>
  <si>
    <t>[Tìm kiếm] Serchbox</t>
  </si>
  <si>
    <t xml:space="preserve">- Status = enable
- Default value = Hiển thị tất cả công dân
</t>
  </si>
  <si>
    <t>[Số CMND]Column</t>
  </si>
  <si>
    <t>Lấy dữ liệu từ cột CMNDId</t>
  </si>
  <si>
    <t>[Địa chỉ tạm trú] Column</t>
  </si>
  <si>
    <t>Lấy dữ liệu từ cột AddressCurrent</t>
  </si>
  <si>
    <t>[Địa chỉ tạm vắng] Column</t>
  </si>
  <si>
    <t>Lấy dữ liệu từ cột HomeAddress</t>
  </si>
  <si>
    <t>GUI-TKCDCD-2</t>
  </si>
  <si>
    <t>[Thêm công dân] combobox</t>
  </si>
  <si>
    <t>[Điện thoại] Column</t>
  </si>
  <si>
    <t>Lấy dữ liệu từ cột Phone</t>
  </si>
  <si>
    <t>[Thao tác] Column</t>
  </si>
  <si>
    <t>Hiển thị các thao tác</t>
  </si>
  <si>
    <t>- Status = enable
- Default value: blank
- Load all items from the TICKET in database</t>
  </si>
  <si>
    <t>GUI-SU-02</t>
  </si>
  <si>
    <t>GUI-TKCDCD-3</t>
  </si>
  <si>
    <t>[Lựa chọn tìm kiếm] ComboBox</t>
  </si>
  <si>
    <t>- Status = enable</t>
  </si>
  <si>
    <t>[Sửa]Button</t>
  </si>
  <si>
    <t>GUI-TKCDCD-4</t>
  </si>
  <si>
    <t>[Result] grid</t>
  </si>
  <si>
    <t>Nếu người dùng không có quyền sửa thông tin</t>
  </si>
  <si>
    <t>Status = disable</t>
  </si>
  <si>
    <t>Trường hợp khác</t>
  </si>
  <si>
    <t>[Mã số] column</t>
  </si>
  <si>
    <t>Status = enable</t>
  </si>
  <si>
    <t>- Lấy dữ liệu từ cột Id của bảng Citizen</t>
  </si>
  <si>
    <t>Kiểm tra chức năng - Hiển thị</t>
  </si>
  <si>
    <t>GUI-TKCDCD-5</t>
  </si>
  <si>
    <t>[Họ tên] column</t>
  </si>
  <si>
    <t>- Lấy dữ liệu từ cột Fullname của bảng Citizen</t>
  </si>
  <si>
    <t>GUI-TKCDCD-6</t>
  </si>
  <si>
    <t>[Địa chỉ] column</t>
  </si>
  <si>
    <t>- Lấy dữ liệu từ cột HomeAddress của bảng Citizen</t>
  </si>
  <si>
    <t>GUI-TKCDCD-7</t>
  </si>
  <si>
    <t>Thực hiện hiển thị</t>
  </si>
  <si>
    <t>[Số CMND] column</t>
  </si>
  <si>
    <t>- Lấy dữ liệu từ cột CMNDId của bảng OrtherInformation</t>
  </si>
  <si>
    <t>Mở màn hình tìm kiếm 
thành công</t>
  </si>
  <si>
    <t>GUI-TKCDCD-8</t>
  </si>
  <si>
    <t>[Điện thoại] column</t>
  </si>
  <si>
    <t>- Lấy dữ liệu từ cột Phone của bảng Citizen</t>
  </si>
  <si>
    <t>Tại Menu Ứng dụng: 
 1. Click [Tin tức]
 2. Click [Danh sách tin tức]</t>
  </si>
  <si>
    <t>GUI-TKCDCD-9</t>
  </si>
  <si>
    <t>[Ngày sinh] column</t>
  </si>
  <si>
    <t>- Lấy dữ liệu từ cột Birthday của bảng Citizen</t>
  </si>
  <si>
    <t>GUI-TKCDCD-10</t>
  </si>
  <si>
    <t>[Thao tác] column</t>
  </si>
  <si>
    <t>- Nếu có quyền chỉnh sửa
- Status=Enable</t>
  </si>
  <si>
    <t>GUI-TKCDCD-11</t>
  </si>
  <si>
    <t>[1] Button</t>
  </si>
  <si>
    <t>- Nếu người quản lý đang ở trang thứ nhất của danh sách công dân
- Trường hợp khác</t>
  </si>
  <si>
    <t>GUI-TKCDCD-12</t>
  </si>
  <si>
    <t>[2] Button</t>
  </si>
  <si>
    <t>- Nếu người quản lý đang ở trang thứ 2 của danh sách công dân
- Trường hợp khác</t>
  </si>
  <si>
    <t>GUI-TKCDCD-13</t>
  </si>
  <si>
    <t>[Trước] Button</t>
  </si>
  <si>
    <t>GUI-TKCDCD-15</t>
  </si>
  <si>
    <t>[Sau] Button</t>
  </si>
  <si>
    <t>Tìm kiếm thành công nhưng 
không có kết quả tìm thấy</t>
  </si>
  <si>
    <t>[Cuối] Button</t>
  </si>
  <si>
    <t>- Nếu người quản lý đang ở trang cuối cùng của danh sách công dân
- Trường hợp khác</t>
  </si>
  <si>
    <t>Tại màn hình hiển thị:
 1. Nhập vào dữ liệu không tồn tại trong hệ thống.
 (Ví dụ: Nhập vào tiêu đề Nguyễn D không tồn tại trong hệ thống)
 2. Nhấn Enter</t>
  </si>
  <si>
    <t>Kiểm tra giao diện - Thêm công dân</t>
  </si>
  <si>
    <t>[Tên đầy đủ]Textbox</t>
  </si>
  <si>
    <t>Nhập vào tên của công dân</t>
  </si>
  <si>
    <t>Status = enable
 Default = blank
 Max-length = 300</t>
  </si>
  <si>
    <t>Check FUNC- TKCDCD</t>
  </si>
  <si>
    <t>[Số CMND]Textbox</t>
  </si>
  <si>
    <t>Nhập vào CMND</t>
  </si>
  <si>
    <t>Status = enable
 Default = blank
 Max-length = 4000</t>
  </si>
  <si>
    <t>FUNC-XDSPT-1</t>
  </si>
  <si>
    <t>Mở màn hình "Tìm kiếm" thành công</t>
  </si>
  <si>
    <t>[Địa chỉ tạm trú]Textbox</t>
  </si>
  <si>
    <t>Nhập nội dung địa chỉ tạm trú</t>
  </si>
  <si>
    <t>Tại Menu Ứng dụng:
1. Click [Tìm kiếm theo tên]
2. Click [Tìm kiếm theo khu vực]</t>
  </si>
  <si>
    <t>1.Hiển thị danh sách tìm kiếm theo tên                  
2.Hiên thị danh sách tìm kiếm theo khu vực</t>
  </si>
  <si>
    <t>[Địa chỉ tạm vắng]Textbox</t>
  </si>
  <si>
    <t>Nhập nội dung địa chỉ tạm vắng</t>
  </si>
  <si>
    <t>Status = enable
 Deefault = blank
 Max-length = 4000</t>
  </si>
  <si>
    <t>[Số điện thoại]Textbox</t>
  </si>
  <si>
    <t>FUNC-XDSPT-2</t>
  </si>
  <si>
    <t>Nhập nội dung số điện thoại</t>
  </si>
  <si>
    <t>Status = enable
 Max-length = 15</t>
  </si>
  <si>
    <t>Tìm kiếm thành công  nhưng không có kết quả tìm thấy</t>
  </si>
  <si>
    <t>[Thêm]Button</t>
  </si>
  <si>
    <t>Tại màn hình tìm kiếm:
1. Nhập vào dữ liệu không tồn tại trong hệ thống.
(Ví dụ: Nhập vào tên Nguyễn Văn Anh không tồn tại trong hệ thống hoặc nhập vào khu vực không tồn tại trong hệ thống)
2. Nhấn Enter</t>
  </si>
  <si>
    <t>[Quay lại]Button</t>
  </si>
  <si>
    <t>Hiển thị thông báo: "Không tìm thấy dữ liệu phù hợp!"</t>
  </si>
  <si>
    <t>Đăng nhập vào hệ thống thành công với quyền Admin, màn hình "Tìm kiếm công dân" được hiển thị.</t>
  </si>
  <si>
    <t>FUNC-XDSPT-3</t>
  </si>
  <si>
    <t>Tìm kiếm thành công nhưng không nhập dữ liệu</t>
  </si>
  <si>
    <t>Tại màn hình tìm kiếm:
1. Không nhập dữ liệu vào.
2. Nhấn Enter</t>
  </si>
  <si>
    <t>Hiển thị danh sách tất cả công dân trong hệ thống.</t>
  </si>
  <si>
    <t>Kiểm tra chức năng - Thêm công dân</t>
  </si>
  <si>
    <t>FUNC-XDSPT-4</t>
  </si>
  <si>
    <t>Tìm kiếm thành công với dữ liệu được nhập vào là họ tên hoặc khu vực</t>
  </si>
  <si>
    <t>Tại màn hình tìm kiếm:
TH1:
1. Nhập vào tên công dân cần tìm.
2. Nhấn Enter.
TH2:
1.Nhập vào tên khu vực cần tìm
2.Nhấn Enter</t>
  </si>
  <si>
    <t>Hiển thị danh sách công dân phù hợp với dữ liệu nhập vào.
-[Mã số]Column:Lấy dữ liệu từ cột Id của bảng Citizen
-[Họ tên]Column:Lấy dữ liệu từ cột Fullname của bảng Citizen
-[Địa chỉ]Column:Lấy dữ liệu từ cột HomeAddresss của bảng Citizen
-[Số CMND]Column:Lấy dữ liệu từ cột CMNDId của bảng OrtherInformation
-[Điện thoại]Column:Lấy dữ liệu từ cột Phone của bảng Citizen
-[Ngày sinh]Column:Lấy dữ liệu từ cột Birthday của bảng Citizen</t>
  </si>
  <si>
    <t xml:space="preserve">Check GUI-Thêm công dân </t>
  </si>
  <si>
    <t>[Tên công dân] Textbox</t>
  </si>
  <si>
    <t>Nhập vào họ và tên công dân</t>
  </si>
  <si>
    <t>Status = enable
Default = blank
Max-length = 50</t>
  </si>
  <si>
    <t>Thêm khi không có input</t>
  </si>
  <si>
    <t>Tại trang thêm công dân không
nhập gì</t>
  </si>
  <si>
    <t>[Giới tính] Combobox</t>
  </si>
  <si>
    <r>
      <t xml:space="preserve"> Báo lỗi </t>
    </r>
    <r>
      <rPr>
        <color rgb="FFFF0000"/>
      </rPr>
      <t>"Thêm thất bại"</t>
    </r>
    <r>
      <t>, kèm theo hiển thị màn hình Thêm công dân.</t>
    </r>
  </si>
  <si>
    <t>Lựa chọn giới tính công dân.</t>
  </si>
  <si>
    <t>GUI-SU-03</t>
  </si>
  <si>
    <t>[Ngày sinh] Datechoose</t>
  </si>
  <si>
    <t>Lựa chọn ngày sinh công dân</t>
  </si>
  <si>
    <t>GUI-SU-04</t>
  </si>
  <si>
    <t>[Số điện thoại] Textbox</t>
  </si>
  <si>
    <t>Nhập vào số điện thoại công dân</t>
  </si>
  <si>
    <t>Thêm khi input chỉ toàn các kí tự trống</t>
  </si>
  <si>
    <t>Tại trang thêm công dân nhập
toàn kí tự rỗng</t>
  </si>
  <si>
    <t>GUI-SU-05</t>
  </si>
  <si>
    <t>[Địa chỉ] Textbox</t>
  </si>
  <si>
    <t>Nhập vào địa chỉ công dân.</t>
  </si>
  <si>
    <t>Status = enable
Max-length = 50</t>
  </si>
  <si>
    <r>
      <t xml:space="preserve">Báo lỗi </t>
    </r>
    <r>
      <rPr>
        <color rgb="FFFF0000"/>
      </rPr>
      <t>"Dữ liệu nhập vào không hợp lệ, xin nhập lại"</t>
    </r>
    <r>
      <t>, kèm theo 
hiển thị lại màn hình Thêm công dân.</t>
    </r>
  </si>
  <si>
    <t>GUI-SU-06</t>
  </si>
  <si>
    <t>[Số CMND] Textbox</t>
  </si>
  <si>
    <t>Nhập vào số chứng minh nhân dân của công dân</t>
  </si>
  <si>
    <t>Status = enable
Default = blank
Max-length = 10</t>
  </si>
  <si>
    <t>Thêm thiếu thông tin</t>
  </si>
  <si>
    <t>GUI-SU-07</t>
  </si>
  <si>
    <t>Tại trang thêm công dân nhập
thiếu các trường bắt buộc</t>
  </si>
  <si>
    <t>[Tài khoản] Textbox</t>
  </si>
  <si>
    <t>Nhập vào tên tài khoản của công dân.</t>
  </si>
  <si>
    <r>
      <t xml:space="preserve">Báo lỗi </t>
    </r>
    <r>
      <rPr>
        <color rgb="FFFF0000"/>
      </rPr>
      <t>"Dữ liệu nhập vào không hợp lệ, xin nhập lại"</t>
    </r>
    <r>
      <t>, kèm theo 
hiển thị lại màn hình Thêm công dân.</t>
    </r>
  </si>
  <si>
    <t>[Mật khẩu]Password</t>
  </si>
  <si>
    <t>Nhập vào mật khẩu của công dân</t>
  </si>
  <si>
    <t>Thêm thành công</t>
  </si>
  <si>
    <t>Thêm thành công chuyển sang trang danh sách hiển thị</t>
  </si>
  <si>
    <t>GUI-SU-10</t>
  </si>
  <si>
    <t>[Thêm] Button</t>
  </si>
  <si>
    <t>GUI-SU-11</t>
  </si>
  <si>
    <t>[Trở về] Button</t>
  </si>
  <si>
    <t>GUI-SU-12</t>
  </si>
  <si>
    <t>[Làm mới] Button</t>
  </si>
  <si>
    <t>Check GUI-Tìm kiếm công dân tạm trú tạm vắng</t>
  </si>
  <si>
    <t>Check FUNC-Thêm công dân</t>
  </si>
  <si>
    <t>FUNC-SU-01</t>
  </si>
  <si>
    <t>Mở màn hình Thêm công dân thành công</t>
  </si>
  <si>
    <t xml:space="preserve">
Tại màn hình Danh sách công dân: Click Thêm công dân</t>
  </si>
  <si>
    <t>Hiển thị màn hình Thêm công dân</t>
  </si>
  <si>
    <t>FUNC-SU-02</t>
  </si>
  <si>
    <t>Không nhập tên công dân</t>
  </si>
  <si>
    <t>Tại màn hình thêm công dân:
1. Không nhập dữ liệu vào [Tên công dân] textbox.
2. Nhấn [OK] button.</t>
  </si>
  <si>
    <t>Hiển thị thông báo: "Vui lòng nhập tên công dân!"
Trỏ chuột tại [Tên công dân] textbox</t>
  </si>
  <si>
    <t>FUNC-SU-03</t>
  </si>
  <si>
    <t>Nhập tên công dân quá số kí tự cho phép</t>
  </si>
  <si>
    <t>Tại màn hình Thêm công dân:
1. Nhập quá 50 ký tự tại [Tên công dân]textbox
2. Nhấn [OK]button.</t>
  </si>
  <si>
    <t>Hiển thị thông báo: "Vui lòng không nhập quá 50 ký tự!"
Trỏ chuột tại [Tên công dân]textbox.</t>
  </si>
  <si>
    <t>FUNC-SU-04</t>
  </si>
  <si>
    <t>Nhập tên công dân toàn kí tự trống.</t>
  </si>
  <si>
    <t>Tại màn hình Thêm công dân:
1. Nhập toàn ký tự trống tại [Tên công dân]textbox
2. Nhấn [OK]button.</t>
  </si>
  <si>
    <t>Hiển thị thông báo: "Vui lòng không nhập toàn bộ ký tự trống!"
Trỏ chuột tại [Tên công dân]textbox.</t>
  </si>
  <si>
    <t>FUNC-SU-05</t>
  </si>
  <si>
    <t>Nhập tên công dân có kí tự đặc biệt</t>
  </si>
  <si>
    <t>Tại màn hình Thêm công dân:
1. Nhập ký tự đặc biệt tại [Tên công dân]textbox
2. Nhấn [OK]button.</t>
  </si>
  <si>
    <t>Hiển thị thông báo: "Vui lòng không nhập  ký tự đặc biệt!"
Trỏ chuột tại [Tên cán bộ]textbox.</t>
  </si>
  <si>
    <t>FUNC-SU-06</t>
  </si>
  <si>
    <t>Nhập tên công dân có ký tự số.</t>
  </si>
  <si>
    <t>Tại màn hình Thêm công dân:
1. Nhập ký tự số tại [Tên công dân]textbox
2. Nhấn [OK]button.</t>
  </si>
  <si>
    <t>Hiển thị thông báo: "Vui lòng không nhập  ký tự số!"
Trỏ chuột tại [Tên công dân]textbox.</t>
  </si>
  <si>
    <t>FUNC-SU-07</t>
  </si>
  <si>
    <t>Không chọn giới tính</t>
  </si>
  <si>
    <t>Tại màn hình Thêm công dân:
1. Không chọn giới tính tại [Giới tính]Combobox.
2. Nhấn [OK]Button.</t>
  </si>
  <si>
    <t>Hiển thị thông báo: "Vui lòng chọn giới tính!"</t>
  </si>
  <si>
    <t>Tìm phiếu thuê khi không nhập thông tin vào 
ô "Tìm kiếm"</t>
  </si>
  <si>
    <t xml:space="preserve">Trong màn hình "Quản lý phiếu thuê"
1. Không nhập dữ liệu vào ô "tìm kiếm"
2. Nhấn Enter.
</t>
  </si>
  <si>
    <t>2. Hiển thị tất cả phiếu thuê trong danh sách.</t>
  </si>
  <si>
    <t>Đăng nhập vào hệ thống thành công với quyền Admin, màn hình "Xem danh sách phiếu thuê" được hiển thị.</t>
  </si>
  <si>
    <t>FUNC-SU-08</t>
  </si>
  <si>
    <t>Không nhập ngày sinh</t>
  </si>
  <si>
    <t>Tại màn hình Thêm cán bộ:
1. Không chọn ngày sinh tại [Ngày sinh]Datechoose.
2. Nhấn [OK]Button.</t>
  </si>
  <si>
    <t>Tìm kiếm phiếu thuê theo "tên KH" khi "tên KH" 
có trong hệ thống</t>
  </si>
  <si>
    <t>Trong màn hình "Quản lý phiếu thuê"
1. Nhập tên khách hàng
2. Nhấn Enter.</t>
  </si>
  <si>
    <t>2. Hiển thì danh sách phiếu thuê theo tên khách hàng đã nhập.</t>
  </si>
  <si>
    <t>Hiển thị thông báo: "Vui lòng chọn năm sinh!"</t>
  </si>
  <si>
    <t>Tìm kiếm phiếu thuê theo "tên KH" khi "tên KH"
 không có trong hệ thống</t>
  </si>
  <si>
    <t>2. Hiển thị thông báo "Không tìm thấy"</t>
  </si>
  <si>
    <t>FUNC-XDSPT-5</t>
  </si>
  <si>
    <t>Tìm kiếm phiếu thuê theo "mã phiếu" khi "mã 
phiếu" có trong hệ thống</t>
  </si>
  <si>
    <t>Trong màn hình "Quản lý phiếu thuê"
1. Nhập mã phiếu
2. Nhấn Enter.</t>
  </si>
  <si>
    <t>2. Hiển thị danh sách phiếu thuê theo mã phiếu đã nhập.</t>
  </si>
  <si>
    <t>FUNC-XDSPT-6</t>
  </si>
  <si>
    <t>Tìm kiếm phiếu thuê theo "mã phiếu" khi "mã
 phiếu" có trong hệ thống</t>
  </si>
  <si>
    <t xml:space="preserve">FUNC-SU-09
</t>
  </si>
  <si>
    <t>Không nhập số điện thoại</t>
  </si>
  <si>
    <t>FUNC-XDSPT-7</t>
  </si>
  <si>
    <t>Tìm kiếm phiếu thuê theo Trang</t>
  </si>
  <si>
    <t>Trong màn hình "Quản lý phiếu thuê"
1. Nhập chọn số trang cần tìm
2. Nhấn Enter.</t>
  </si>
  <si>
    <t>Tại màn hình Thêm công dân:
1. Không nhập dữ liệu vào [Số điện thoại] textbox.
2. Nhấn [OK]button.</t>
  </si>
  <si>
    <t>2. Hiển thì danh sách phiếu thuê theo trang đã chọn.</t>
  </si>
  <si>
    <t>Hiển thị thông báo: "Vui lòng nhập số điện thoại!"
Trỏ chuột tại [Số điện thoại] textbox.</t>
  </si>
  <si>
    <t>FUNC-XDSPT-8</t>
  </si>
  <si>
    <t>Tìm kiếm phiếu thuê theo Trạng thái</t>
  </si>
  <si>
    <t>Trong màn hình "Quản lý phiếu thuê"
1. Nhập trạng thái phiếu cần tìm
2. Nhấn Enter.</t>
  </si>
  <si>
    <t>2. Hiển thì danh sách phiếu thuê theo trtrnạg thái đã chọn.</t>
  </si>
  <si>
    <t>FUNC-XDSPT-9</t>
  </si>
  <si>
    <t xml:space="preserve">Nhấp chuột vào link Xem chi tiết. </t>
  </si>
  <si>
    <t xml:space="preserve">Trong màn hình "Quản lý phiếu thuê"
1. Nhấp chuột vào link Xem chi tiết.
</t>
  </si>
  <si>
    <t>1.Hiển thị trang Xem chi tiết một phiếu thuê</t>
  </si>
  <si>
    <t>FUNC-SU-10</t>
  </si>
  <si>
    <t>Nhập quá số ký tự số điện thoại cho phép</t>
  </si>
  <si>
    <t>Tại màn hình Thêm công dân:
1. Nhập quá 13 ký tự tại [Số điện thoại]textbox
2. Nhấn [OK]button.</t>
  </si>
  <si>
    <t>Hiển thị thông báo: "Vui lòng không nhập quá 13 ký tự!"
Trỏ chuột tại [Số điện thoại]textbox.</t>
  </si>
  <si>
    <t>Check-GUI-Chỉnh sửa thông tin công dân</t>
  </si>
  <si>
    <t>FUNC-SU-11</t>
  </si>
  <si>
    <t>Nhập toàn ký tự trống.</t>
  </si>
  <si>
    <t>Tại màn hình Thêm công dân:
1. Nhập toàn bộ là ký tự trống tại [Số điện thoại]textbox
2. Nhấn [OK]button</t>
  </si>
  <si>
    <t>Hiển thị thông báo: "Vui lòng không nhập toàn bộ là ký tự trống!"
Trỏ chuột tại [Số điện thoại]textbox.</t>
  </si>
  <si>
    <t>FUNC-SU-12</t>
  </si>
  <si>
    <t>Nhập số điện thoại có ký tự là chữ cái.</t>
  </si>
  <si>
    <t>Tại màn hình Thêm công dân:
1. Nhập ký tự chữ cái tại [Số điện thoại]textbox
2. Nhấn [OK]button</t>
  </si>
  <si>
    <t>Hiển thị thông báo: "Vui lòng không nhập chữ cái!"
Trỏ chuột tại [Số điện thoại]textbox.</t>
  </si>
  <si>
    <t>GUI-TKCD-01</t>
  </si>
  <si>
    <t>Nhập vào tên công dân cần chỉnh sửa.</t>
  </si>
  <si>
    <t>Status = enable
Default = Tên công dân đã tồn tại trong cơ sở dữ liệu
Max-length = 50</t>
  </si>
  <si>
    <t>FUNC-SU-13</t>
  </si>
  <si>
    <t>Nhập số điện thoại có ký tự đặc biệt.</t>
  </si>
  <si>
    <t>Tại màn hình Thêm công dân:
1. Nhập ký tự đặc biệt tại [Số điện thoại]textbox
2. Nhấn [OK]button.</t>
  </si>
  <si>
    <t>Hiển thị thông báo: "Vui lòng không nhập ký tự đặc biệt!"
Trỏ chuột tại [Số điện thoại]textbox.</t>
  </si>
  <si>
    <t>GUI-TKCD-02</t>
  </si>
  <si>
    <t xml:space="preserve">Status = enable 
Default = Giới tính đã tồn tại trong cơ sở dữ liệu.
</t>
  </si>
  <si>
    <t>FUNC-SU-14</t>
  </si>
  <si>
    <t>GUI-TKCD-03</t>
  </si>
  <si>
    <t>Lựa chọn ngày sinh công dân.</t>
  </si>
  <si>
    <t>Status = enable
Default = Ngày sinh đã tồn tại trong cơ sở dữ liệu.</t>
  </si>
  <si>
    <t>Không nhập địa chỉ</t>
  </si>
  <si>
    <t>GUI-TKCD-04</t>
  </si>
  <si>
    <t>Nhập vào số điện thoại công dân.</t>
  </si>
  <si>
    <t>Status = enable
Default = Số điện thoại đã tồn tại tong cơ sở dữ liệu.
Max-length = 13</t>
  </si>
  <si>
    <t>Tại màn hình Thêm công dân:
1. Không nhập dữ liệu địa chỉ tại [Địa chỉ]textbox.
2. Nhấn [OK]Button.</t>
  </si>
  <si>
    <t>Hiển thị thông báo: "Vui lòng nhập địa chỉ!"
Trỏ chuột tại [Địa chỉ] textbox.</t>
  </si>
  <si>
    <t>GUI-TKCD-05</t>
  </si>
  <si>
    <t>Status = enable
Default = Địa chỉ đã tồn tại tong cơ sở dữ liệu
Max-length = 50</t>
  </si>
  <si>
    <t>FUNC-SU-15</t>
  </si>
  <si>
    <t>Nhập quá số ký tự địa chỉ cho phép</t>
  </si>
  <si>
    <t>Tại màn hình Thêm công dân:
1. Nhập quá 50 ký tự tại [Địa chỉ]textbox.
2. Nhấn [OK]button.</t>
  </si>
  <si>
    <t>GUI-TKCD-06</t>
  </si>
  <si>
    <t>Hiển thị thông báo: "Vui lòng không nhập quá 50 ký tự!"
Trỏ chuột tại [Địa chỉ]textbox.</t>
  </si>
  <si>
    <t>Nhập vào số CMND công dân.</t>
  </si>
  <si>
    <t>"Status = enable
Default = Số CMND đã tồn tại tong cơ sở dữ liệu
Max-length = 10"</t>
  </si>
  <si>
    <t>FUNC-SU-16</t>
  </si>
  <si>
    <t>Nhập địa chỉ có kí tự đặc biệt.</t>
  </si>
  <si>
    <t>GUI-TKCD-07</t>
  </si>
  <si>
    <t>Tại màn hình Thêm công dân:
1. Nhập ký tự đặc biệt tại [Địa chỉ]textbox.
2. Nhấn [OK]button.</t>
  </si>
  <si>
    <t>[Tài khoản]Textbox</t>
  </si>
  <si>
    <t>Nhập vào Tài khoản công dân.</t>
  </si>
  <si>
    <t>Hiển thị thông báo: "Vui lòng không nhập ký tự đặc biệt!"
Trỏ chuột tại [Địa chỉ]textbox.</t>
  </si>
  <si>
    <t>"Status = enable
Default = Tài khoản đã tồn tại tong cơ sở dữ liệu
Max-length = 50"</t>
  </si>
  <si>
    <t>GUI-TKCD-08</t>
  </si>
  <si>
    <t>[Password]Password</t>
  </si>
  <si>
    <t>Nhập vào Password công dân.</t>
  </si>
  <si>
    <t>FUNC-SU-17</t>
  </si>
  <si>
    <t>Không nhập CMND</t>
  </si>
  <si>
    <t>"Status = enable
Default = Password đã tồn tại tong cơ sở dữ liệu
Max-length = 50"</t>
  </si>
  <si>
    <t xml:space="preserve">"Hiển thị thông báo: ""Vui lòng nhập số CMND!""
Trỏ chuột tại [Số CMND] textbox."                          
</t>
  </si>
  <si>
    <t>FUNC-SU-18</t>
  </si>
  <si>
    <t>Nhập số CMND quá số ký tự cho phép</t>
  </si>
  <si>
    <t>"Tại màn hình Thêm công dân:
1. Nhập quá 10 ký tự tại [Số CMND]textbox.
2. Nhấn [OK]button."</t>
  </si>
  <si>
    <t xml:space="preserve">"Hiển thị thông báo: "
"Vui lòng không nhập quá 10 ký tự!""
Trỏ chuột tại [Số CMND]textbox."
</t>
  </si>
  <si>
    <t>GUI-TKCD-9</t>
  </si>
  <si>
    <t>[Lưu] Button</t>
  </si>
  <si>
    <t>GUI-SuaCB-10</t>
  </si>
  <si>
    <t>FUNC-SU-19</t>
  </si>
  <si>
    <t>Nhập số CMND có kí tự chữ cái hoặc kí tự đặc biệt</t>
  </si>
  <si>
    <t>"Tại màn hình Thêm công dân:
1. Nhập ký tự đặc biệt tại [Số CMND]textbox.
2. Nhấn [OK]button."</t>
  </si>
  <si>
    <t>Hiển thị thông báo: "Vui lòng không nhập ký tự đặc biệt!"
Trỏ chuột tại [Số CMND]textbox.</t>
  </si>
  <si>
    <t>GUI-SuaCB-11</t>
  </si>
  <si>
    <t>FUNC-SU-20</t>
  </si>
  <si>
    <t>Không nhập tài khoản</t>
  </si>
  <si>
    <t xml:space="preserve">"Tại màn hình Thêm công dân:
1. Không nhập dữ liệu tên tài khoản tại [Tài khoản]textbox.
2. Nhấn [OK]Button."
</t>
  </si>
  <si>
    <t>Check-FUNC-Sửa thông tin công dân</t>
  </si>
  <si>
    <t xml:space="preserve">"Hiển thị thông báo: "Vui lòng nhập Tài 
khoản!"
Trỏ chuột tại [Tài khoản] textbox."                          
</t>
  </si>
  <si>
    <t>FUNC-SU-21</t>
  </si>
  <si>
    <t>Nhập Tài khoản quá số ký tự cho phép</t>
  </si>
  <si>
    <t>FUNC-TKCD-01</t>
  </si>
  <si>
    <t>"Tại màn hình Thêm công dân:
1. Nhập quá 50 ký tự tại [Tài khoản]textbox.
2. Nhấn [OK]button."</t>
  </si>
  <si>
    <t xml:space="preserve">"Hiển thị thông báo: "
"Vui lòng không nhập quá 50 ký tự!""
Trỏ chuột tại [Tài khoản]textbox."
</t>
  </si>
  <si>
    <t>Mở màn hình Sửa công dân thành công</t>
  </si>
  <si>
    <t xml:space="preserve">Tại màn hình Danh sách công dân: 
Click [Sửa] Button ngay tại cán bộ cần sửa.
</t>
  </si>
  <si>
    <t>Hiển thị màn hình Sửa công dân</t>
  </si>
  <si>
    <t>FUNC-SU-22</t>
  </si>
  <si>
    <t>Nhập Tài khoản có kí tự đặc biệt</t>
  </si>
  <si>
    <t>"Tại màn hình Thêm công dân:
1. Nhập ký tự đặc biệt tại [Tài khoản]textbox.
2. Nhấn [OK]button."</t>
  </si>
  <si>
    <t>Hiển thị thông báo: "Vui lòng không nhập ký tự đặc biệt!"
Trỏ chuột tại [Tài khoản]textbox.</t>
  </si>
  <si>
    <t>FUNC-SU-23</t>
  </si>
  <si>
    <t>Không nhập password</t>
  </si>
  <si>
    <t xml:space="preserve">"Tại màn hình Thêm công dân:
1. Không nhập dữ liệu Passord tại [Password]Password.
2. Nhấn [OK]Button."
</t>
  </si>
  <si>
    <t xml:space="preserve">"Hiển thị thông báo: "Vui lòng nhập Pass!"
Trỏ chuột tại [Password] textbox."                          
</t>
  </si>
  <si>
    <t>FUNC-SU-24</t>
  </si>
  <si>
    <t>Nhập Password quá số ký tự cho phép</t>
  </si>
  <si>
    <t>"Tại màn hình Thêm công dân:
1. Nhập quá 50 ký tự tại [Password]Password.
2. Nhấn [OK]button."</t>
  </si>
  <si>
    <t xml:space="preserve">"Hiển thị thông báo: "
"Vui lòng không nhập quá 50 ký tự!""
Trỏ chuột tại [Password]Password."
</t>
  </si>
  <si>
    <t>FUNC-SU-25</t>
  </si>
  <si>
    <t>Nhập Password có kí tự đặc biệt</t>
  </si>
  <si>
    <t>"Tại màn hình Thêm công dân:
1. Nhập ký tự đặc biệt tại [Password]textbox.
2. Nhấn [OK]button."</t>
  </si>
  <si>
    <t>Hiển thị thông báo: "Vui lòng không nhập ký tự đặc biệt!"
Trỏ chuột tại [Password]Password</t>
  </si>
  <si>
    <t>FUNC-TKCD-02</t>
  </si>
  <si>
    <t>FUNC-SU-26</t>
  </si>
  <si>
    <t>Tại màn hình Sửa công dân:
1. Không nhập dữ liệu vào [Tên công dân] textbox.
2. Nhấn [Sửa] button.</t>
  </si>
  <si>
    <t>Thêm công dân thành công</t>
  </si>
  <si>
    <t>Tại màn hình Thêm công dân:
1. Nhập tất cả dữ liệu được yêu cầu nhập trong form.
2. Nhấn [Thêm]Button.</t>
  </si>
  <si>
    <t>Hiển thị thông báo: "Thêm công dân thành 
công!"</t>
  </si>
  <si>
    <t>Hiển thị thông báo: "Vui lòng nhập tên công dân!"
Trỏ chuột tại [Tên công dân] textbox.</t>
  </si>
  <si>
    <t>FUNC-SU-27</t>
  </si>
  <si>
    <t>Xóa toàn bộ dữ liệu nhập vào.</t>
  </si>
  <si>
    <t>Tại màn hình Thêm công dân:
1. Nhập vào các dữ liệu được yêu cầu trong form.
2. Nhấn [Làm mới]button.</t>
  </si>
  <si>
    <t>Hiển thị màn hình Thêm công dân với form còn trống.
Trỏ chuột tại [Tên công dân] textbox.</t>
  </si>
  <si>
    <t>FUNC-TKCD-03</t>
  </si>
  <si>
    <t>Tại màn hình Sửa công dân:
1. Nhập toàn ký tự trống tại [Tên công dân]textbox
2. Nhấn [Sửa]button.</t>
  </si>
  <si>
    <t>FUNC-TKCD-04</t>
  </si>
  <si>
    <t>Nhập tên công dân có kí tự đặc biệt.</t>
  </si>
  <si>
    <t>Tại màn hình Sửa công dân:
1. Nhập ký tự đặc biệt tại [Tên công dân]textbox
2. Nhấn [Lưu]button.</t>
  </si>
  <si>
    <t>Hiển thị thông báo: "Vui lòng không nhập  ký tự đặc biệt!"
Trỏ chuột tại [Tên công dân]textbox.</t>
  </si>
  <si>
    <t>FUNC-TKCD-05</t>
  </si>
  <si>
    <t>Tại màn hình Sửa công dân:
1. Nhập ký tự số tại [Tên công dân]textbox
2. Nhấn [Lưu]button.</t>
  </si>
  <si>
    <t>FUNC-TKCD-06</t>
  </si>
  <si>
    <t>Tại màn hình Sửa công dân:
1. Không chọn giới tính tại [Giới tính]Combobox.
2. Nhấn [Lưu]Button.</t>
  </si>
  <si>
    <t>FUNC-SU-28</t>
  </si>
  <si>
    <t>Quay lại màn hình trước đó</t>
  </si>
  <si>
    <t>FUNC-TKCD-07</t>
  </si>
  <si>
    <t>Tại màn hình Sửa công dân:
1. Không chọn ngày sinh tại [Ngày sinh]Datechoose.
2. Nhấn [Lưu]Button.</t>
  </si>
  <si>
    <t>Tại màn hình Thêm công dân:
Nhấn[ Quay lại] Button.</t>
  </si>
  <si>
    <t>Hiển thị thông báo: "Vui lòng chọn ngày sinh!"</t>
  </si>
  <si>
    <t>Hiển thị màn hình Danh sách công dân.</t>
  </si>
  <si>
    <t>FUNC-TKCD-08</t>
  </si>
  <si>
    <t>Tại màn hình Sửa công dân:
1. Không nhập dữ liệu vào [Số điện thoại] textbox.
2. Nhấn [Lưu]button.</t>
  </si>
  <si>
    <t>FUNC-TKCD-09</t>
  </si>
  <si>
    <t>Tại màn hình Sửa công dân:
1. Nhập toàn bộ là ký tự trống tại [Số điện thoại]textbox
2. Nhấn [Lưu]button</t>
  </si>
  <si>
    <t>FUNC-TKCD-10</t>
  </si>
  <si>
    <t>Tại màn hình Sửa cán bộ:
1. Nhập ký tự chữ cái tại [Số điện thoại]textbox
2. Nhấn [Sửa]button</t>
  </si>
  <si>
    <t>FUNC-TKCD-11</t>
  </si>
  <si>
    <t>Tại màn hình Sửa công dân:
1. Nhập ký tự đặc biệt tại [Số điện thoại]textbox
2. Nhấn [Lưu]button.</t>
  </si>
  <si>
    <t>FUNC-TKCD-12</t>
  </si>
  <si>
    <t>Nhập số điện thoại quá số ký tự cho phép.</t>
  </si>
  <si>
    <t>Tại màn hình Sửa cán bộ:
1. Nhập quá 13 ký tự tại [Số điện thoại]textbox
2. Nhấn [Lưu]button.</t>
  </si>
  <si>
    <t>FUNC-TKCD-13</t>
  </si>
  <si>
    <t>Tại màn hình Sửa công dân:
1. Không nhập dữ liệu địa chỉ tại [Địa chỉ]textbox.
2. Nhấn [Lưu]Button.</t>
  </si>
  <si>
    <t>FUNC-TKCD-14</t>
  </si>
  <si>
    <t>Tại màn hình Sửa công dân:
1. Nhập quá 50 ký tự tại [Địa chỉ]textbox.
2. Nhấn [Lưu]button.</t>
  </si>
  <si>
    <t>FUNC-TKCD-15</t>
  </si>
  <si>
    <t>Tại màn hình Sửa công dân:
1. Nhập ký tự đặc biệt tại [Địa chỉ]textbox.
2. Nhấn [Lưu]button.</t>
  </si>
  <si>
    <t>FUNC-TKCD-16</t>
  </si>
  <si>
    <t>Không nhập số CMND</t>
  </si>
  <si>
    <t>Tại màn hình Sửa công dân:
1. Không nhập dữ liệu Số CMND tại [CMND]textbox.
2. Nhấn [Lưu]Button.</t>
  </si>
  <si>
    <t>Hiển thị thông báo: "Vui lòng nhập Số CMND!"
Trỏ chuột tại [Số CMND] textbox.</t>
  </si>
  <si>
    <t>FUNC-TKCD-17</t>
  </si>
  <si>
    <t>Nhập quá số ký tự cho phép</t>
  </si>
  <si>
    <t>Tại màn hình Sửa công dân:
1. Nhập quá 10 ký tự tại [Số CMND]textbox.
2. Nhấn [Lưu]button.</t>
  </si>
  <si>
    <t>Hiển thị thông báo: "Vui lòng không nhập quá 10 ký tự!"
Trỏ chuột tại [Số CMND]textbox.</t>
  </si>
  <si>
    <t>FUNC-TKCD-18</t>
  </si>
  <si>
    <t>Nhập số CMND có chữ hoặc kí tự đặc biệt.</t>
  </si>
  <si>
    <t>Tại màn hình Sửa công dân:
1. Nhập chữ hoặc ký tự đặc biệt tại [Số CMND]textbox.
2. Nhấn [Lưu]button.</t>
  </si>
  <si>
    <t>FUNC-TKCD-19</t>
  </si>
  <si>
    <t>Không nhập Tài khoản</t>
  </si>
  <si>
    <t>Tại màn hình Sửa công dân:
1. Không nhập dữ liệu Tài khoản tại [Tài khoản]textbox.
2. Nhấn [Lưu]Button.</t>
  </si>
  <si>
    <t>Hiển thị thông báo: "Vui lòng nhập Tài khoản!"
Trỏ chuột tại [Tài khoản] textbox.</t>
  </si>
  <si>
    <t>FUNC-TKCD-20</t>
  </si>
  <si>
    <t>Tại màn hình Sửa công dân:
1. Nhập quá 50 ký tự tại [Tài khoản]textbox.
2. Nhấn [Lưu]button.</t>
  </si>
  <si>
    <t>Hiển thị thông báo: "Vui lòng không nhập quá 50 ký tự!"
Trỏ chuột tại [Tài khoản]textbox.</t>
  </si>
  <si>
    <t>FUNC-TKCD-21</t>
  </si>
  <si>
    <t>Nhập tài khoản có kí tự đặc biệt.</t>
  </si>
  <si>
    <t>Tại màn hình Sửa công dân:
1. Nhập ký tự đặc biệt tại [Tài khoản]textbox.
2. Nhấn [Lưu]button.</t>
  </si>
  <si>
    <t>GUI-STKCD-10</t>
  </si>
  <si>
    <t>FUNC-TKCD-23</t>
  </si>
  <si>
    <t>Không nhập Password</t>
  </si>
  <si>
    <t>Tại màn hình Sửa công dân:
1. Không nhập dữ liệu Password tại [Password]textbox.
2. Nhấn [Lưu]Button.</t>
  </si>
  <si>
    <t>"Hiển thị thông báo: ""Vui lòng nhập Password!""
Trỏ chuột tại [Password] textbox."</t>
  </si>
  <si>
    <t>GUI-TKCD-11</t>
  </si>
  <si>
    <t>FUNC-TKCD-24</t>
  </si>
  <si>
    <t>Tại màn hình Sửa công dân:
1. Nhập quá 50 ký tự tại [Password]Password.
2. Nhấn [Lưu]button.</t>
  </si>
  <si>
    <t>Hiển thị thông báo: "Vui lòng không nhập quá 50 ký tự!"
Trỏ chuột tại [Password]Password.</t>
  </si>
  <si>
    <t>FUNC-TKCD-25</t>
  </si>
  <si>
    <t>Nhập password có kí tự đặc biệt.</t>
  </si>
  <si>
    <t>Tại màn hình Sửa công dân:
1. Nhập ký tự đặc biệt tại [Password]Password.
2. Nhấn [Lưu]button.</t>
  </si>
  <si>
    <t>Hiển thị thông báo: "Vui lòng không nhập ký tự đặc biệt!"
Trỏ chuột tại [Password]Password.</t>
  </si>
  <si>
    <t>FUNC-TKCD-26</t>
  </si>
  <si>
    <t>Không nhập dữ liệu vào form</t>
  </si>
  <si>
    <t>Tại màn hình Sửa công dân:
1. Không nhập tất cả các dữ liệu được yêu cầu nhập trong form.
2. Nhấn [Lưu]Button.</t>
  </si>
  <si>
    <t xml:space="preserve">Hiển thị thông báo: "Vui lòng nhập dữ liệu!"
Trỏ chuột tại [Tên công dân] textbox.
</t>
  </si>
  <si>
    <t>FUNC-TKCD-27</t>
  </si>
  <si>
    <t>Tại màn hình Sửa công dân:
1. Nhập tất cả dữ liệu được yêu cầu nhập trong form.
2. Nhấn [Lưu]Button.</t>
  </si>
  <si>
    <t>Hiển thị thông báo: "Thêm công dân thành công!"</t>
  </si>
  <si>
    <t>FUNC-TKCD-28</t>
  </si>
  <si>
    <t>Xóa toàn bộ dữ liệu đã nhập vào.</t>
  </si>
  <si>
    <t>Tại màn hình Sửa công dân:
1. Nhập vào các dữ liệu được yêu cầu trong form.
2. Nhấn [Làm mới]button.</t>
  </si>
  <si>
    <t>FUNC-TKCD-29</t>
  </si>
  <si>
    <t>Quay lại trang trước</t>
  </si>
  <si>
    <t>Tại màn hình Sửa công dân:
Nhấn[ Quay lại] Button.</t>
  </si>
  <si>
    <t>Check-GUI-Khóa công dân</t>
  </si>
  <si>
    <t>GUI-KhoaCD-01</t>
  </si>
  <si>
    <t>[OK] Button</t>
  </si>
  <si>
    <t>GUI-KhoaCD-02</t>
  </si>
  <si>
    <t>[Cancel]Button</t>
  </si>
  <si>
    <t>Check-FUNC-Khóa công dân</t>
  </si>
  <si>
    <t>FUNC-KhoaCD-01</t>
  </si>
  <si>
    <t>Mở thành công màn hình Xác nhận xóa</t>
  </si>
  <si>
    <t>Tại màn hình Danh sách công dân: Click [Khóa] ngay tại 
công dân muốn xóa.</t>
  </si>
  <si>
    <t>Hiển thị màn hình Xác nhận khóa.</t>
  </si>
  <si>
    <t>FUNC-KhoaCB-02</t>
  </si>
  <si>
    <t>Khóa thành công công dân.</t>
  </si>
  <si>
    <t>Tại màn hình Xác nhận Khóa: 
Click [OK]Button.</t>
  </si>
  <si>
    <t>Hiển thị thông báo: "Khóa thành công!"</t>
  </si>
  <si>
    <t>FUNC-KhoaCB-03</t>
  </si>
  <si>
    <t>Khóa không thành công.</t>
  </si>
  <si>
    <t>Tại màn hình Xác nhận khóa:
Click [OK]Button.</t>
  </si>
  <si>
    <t>Hiển thị thông báo: "Khóa không thành công!'</t>
  </si>
  <si>
    <t>FUNC-KhoaCB-04</t>
  </si>
  <si>
    <t>Hủy việc Khóa công dân.</t>
  </si>
  <si>
    <t>Tại màn hình Xác nhận khóa:
Click [Cancel]Button.</t>
  </si>
  <si>
    <t>Function: Xem thông tin chi tiết công dân</t>
  </si>
  <si>
    <t>Check-GUI:Xem thông tin chi tiết công dân</t>
  </si>
  <si>
    <t>GUI-XemCTCD-01</t>
  </si>
  <si>
    <t>[Họ tên]Label</t>
  </si>
  <si>
    <t>Lấy dữ liệu từ cột Fullname của bảng Citizen</t>
  </si>
  <si>
    <t>[Ngày sinh]Label</t>
  </si>
  <si>
    <t>Lấy dữ liệu từ cột Birthday của bảng Citizen</t>
  </si>
  <si>
    <t>[Giới tính]Label</t>
  </si>
  <si>
    <t>Lấy dữ liệu từ cột Gender của bảng Citizen</t>
  </si>
  <si>
    <t>[Địa chỉ]Label</t>
  </si>
  <si>
    <t>Lấy dữ liệu từ cột HomeAddress của bảng Citizen</t>
  </si>
  <si>
    <t>[Số điện thoại]Label</t>
  </si>
  <si>
    <t>Lấy dữ liệu từ cột Phone của bảng Citizen</t>
  </si>
  <si>
    <t>[Tài khoản]Label</t>
  </si>
  <si>
    <t>Lấy dữ liệu từ cột Username của 
bảng Customers</t>
  </si>
  <si>
    <t>[Số CMND]Label</t>
  </si>
  <si>
    <t>Lấy dữ liệu từ cột CMNDId của bảng OrtherInformation</t>
  </si>
  <si>
    <t>GUI-XemCTCD-02</t>
  </si>
  <si>
    <t>GUI-XemCTCD-03</t>
  </si>
  <si>
    <t>Check-FUNC-Xem chi tiết thông tin công dân</t>
  </si>
  <si>
    <t>FUNC-XemCTCD-
01</t>
  </si>
  <si>
    <t>[Trờ về] Button</t>
  </si>
  <si>
    <t xml:space="preserve">"Tại màn hình Xem thông tin chi tiết công dân:
Nhấn[ Quay lại] Button."
</t>
  </si>
  <si>
    <t>Trở về màn hình hiển thị danh sách công dân</t>
  </si>
  <si>
    <t>FUNC-XemCTCD-
02</t>
  </si>
  <si>
    <t>[Chỉnh sửa] Button</t>
  </si>
  <si>
    <t xml:space="preserve">"Tại màn hình Xem thông tin chi tiết công dân:
Nhấn[Chỉnh sửa] Button."
</t>
  </si>
  <si>
    <t>Hiển thị màn hình chỉnh sửa thông tin công dân</t>
  </si>
  <si>
    <t>FUNC-XemCTCD-
03</t>
  </si>
  <si>
    <t>[Khóa] Button</t>
  </si>
  <si>
    <t xml:space="preserve">"Tại màn hình Xem thông tin chi tiết công dân:
Nhấn[Khóa] Button."
</t>
  </si>
  <si>
    <t>Hiển thị màn hình khóa công dân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</si>
</sst>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\-mmm\-yy"/>
    <numFmt numFmtId="165" formatCode="dd/mm/yyyy"/>
    <numFmt numFmtId="166" formatCode="d/m/yyyy"/>
  </numFmts>
  <fonts count="31">
    <font>
      <sz val="11.0"/>
      <color rgb="FF000000"/>
      <name val="Calibri"/>
    </font>
    <font>
      <sz val="10.0"/>
      <name val="Tahoma"/>
    </font>
    <font>
      <b/>
      <sz val="20.0"/>
      <color rgb="FF000000"/>
      <name val="Tahoma"/>
    </font>
    <font>
      <b/>
      <sz val="22.0"/>
      <color rgb="FFFF0000"/>
      <name val="Tahoma"/>
    </font>
    <font>
      <b/>
      <sz val="10.0"/>
      <color rgb="FF000000"/>
      <name val="Tahoma"/>
    </font>
    <font>
      <b/>
      <sz val="26.0"/>
      <color rgb="FFFF0000"/>
      <name val="Tahoma"/>
    </font>
    <font>
      <b/>
      <sz val="10.0"/>
      <color rgb="FFFF0000"/>
      <name val="Tahoma"/>
    </font>
    <font>
      <b/>
      <sz val="10.0"/>
      <color rgb="FF993300"/>
      <name val="Tahoma"/>
    </font>
    <font/>
    <font>
      <b/>
      <sz val="10.0"/>
      <name val="Tahoma"/>
    </font>
    <font>
      <i/>
      <sz val="10.0"/>
      <color rgb="FF008000"/>
      <name val="Tahoma"/>
    </font>
    <font>
      <b/>
      <sz val="11.0"/>
      <color rgb="FFFFFFFF"/>
      <name val="Tahoma"/>
    </font>
    <font>
      <sz val="11.0"/>
      <color rgb="FF000000"/>
      <name val="Tahoma"/>
    </font>
    <font>
      <b/>
      <sz val="10.0"/>
      <color rgb="FFFFFFFF"/>
      <name val="Tahoma"/>
    </font>
    <font>
      <u/>
      <sz val="11.0"/>
      <color rgb="FF000080"/>
      <name val="Tahoma"/>
    </font>
    <font>
      <sz val="11.0"/>
      <name val="Tahoma"/>
    </font>
    <font>
      <sz val="13.0"/>
      <name val="Tahoma"/>
    </font>
    <font>
      <sz val="10.0"/>
      <color rgb="FF008000"/>
      <name val="Tahoma"/>
    </font>
    <font>
      <sz val="10.0"/>
      <color rgb="FFFFFFFF"/>
      <name val="Tahoma"/>
    </font>
    <font>
      <b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color rgb="FF000000"/>
      <name val="Tahoma"/>
    </font>
    <font>
      <name val="Tahoma"/>
    </font>
    <font>
      <sz val="11.0"/>
      <name val="Calibri"/>
    </font>
    <font>
      <sz val="10.0"/>
      <name val="Calibri"/>
    </font>
    <font>
      <sz val="10.0"/>
      <color rgb="FF000000"/>
      <name val="Calibri"/>
    </font>
    <font>
      <sz val="10.0"/>
      <name val="Times New Roman"/>
    </font>
    <font>
      <sz val="11.0"/>
      <color rgb="FF000000"/>
      <name val="Times New Roman"/>
    </font>
    <font>
      <color rgb="FF000000"/>
      <name val="Times New Roman"/>
    </font>
    <font>
      <sz val="11.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000080"/>
        <bgColor rgb="FF00008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CCFFFF"/>
        <bgColor rgb="FFCCFFFF"/>
      </patternFill>
    </fill>
  </fills>
  <borders count="6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top style="thin">
        <color rgb="FF000000"/>
      </top>
      <bottom style="thin">
        <color rgb="FF000000"/>
      </bottom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hair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medium">
        <color rgb="FF000000"/>
      </right>
      <bottom style="thin">
        <color rgb="FF000000"/>
      </bottom>
    </border>
    <border>
      <left/>
      <right/>
      <bottom/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bottom/>
    </border>
    <border>
      <left/>
      <right style="thin">
        <color rgb="FF000000"/>
      </right>
      <top style="thin">
        <color rgb="FF000000"/>
      </top>
      <bottom/>
    </border>
    <border>
      <right/>
      <bottom/>
    </border>
    <border>
      <left style="thin">
        <color rgb="FF000000"/>
      </left>
      <right/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2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1" numFmtId="0" xfId="0" applyBorder="1" applyFill="1" applyFont="1"/>
    <xf borderId="1" fillId="2" fontId="1" numFmtId="1" xfId="0" applyBorder="1" applyFont="1" applyNumberFormat="1"/>
    <xf borderId="1" fillId="2" fontId="1" numFmtId="0" xfId="0" applyAlignment="1" applyBorder="1" applyFont="1">
      <alignment horizontal="left"/>
    </xf>
    <xf borderId="0" fillId="0" fontId="1" numFmtId="0" xfId="0" applyAlignment="1" applyFont="1">
      <alignment horizontal="left" shrinkToFit="0" wrapText="1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left"/>
    </xf>
    <xf borderId="2" fillId="0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left"/>
    </xf>
    <xf borderId="2" fillId="2" fontId="7" numFmtId="1" xfId="0" applyBorder="1" applyFont="1" applyNumberFormat="1"/>
    <xf borderId="3" fillId="2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2" fontId="9" numFmtId="0" xfId="0" applyBorder="1" applyFont="1"/>
    <xf borderId="1" fillId="2" fontId="7" numFmtId="0" xfId="0" applyAlignment="1" applyBorder="1" applyFont="1">
      <alignment horizontal="left" shrinkToFit="0" wrapText="1"/>
    </xf>
    <xf borderId="1" fillId="2" fontId="1" numFmtId="164" xfId="0" applyBorder="1" applyFont="1" applyNumberFormat="1"/>
    <xf borderId="0" fillId="0" fontId="10" numFmtId="0" xfId="0" applyAlignment="1" applyFont="1">
      <alignment horizontal="left" shrinkToFit="0" wrapText="1"/>
    </xf>
    <xf borderId="8" fillId="2" fontId="7" numFmtId="0" xfId="0" applyAlignment="1" applyBorder="1" applyFont="1">
      <alignment horizontal="left" vertical="center"/>
    </xf>
    <xf borderId="1" fillId="2" fontId="1" numFmtId="0" xfId="0" applyAlignment="1" applyBorder="1" applyFont="1">
      <alignment shrinkToFit="0" wrapText="1"/>
    </xf>
    <xf borderId="9" fillId="0" fontId="8" numFmtId="0" xfId="0" applyBorder="1" applyFont="1"/>
    <xf borderId="8" fillId="2" fontId="7" numFmtId="0" xfId="0" applyAlignment="1" applyBorder="1" applyFont="1">
      <alignment horizontal="left" shrinkToFit="0" wrapText="1"/>
    </xf>
    <xf borderId="2" fillId="2" fontId="10" numFmtId="0" xfId="0" applyAlignment="1" applyBorder="1" applyFont="1">
      <alignment horizontal="left"/>
    </xf>
    <xf borderId="2" fillId="0" fontId="10" numFmtId="0" xfId="0" applyAlignment="1" applyBorder="1" applyFont="1">
      <alignment horizontal="left" readingOrder="0" shrinkToFit="0" wrapText="1"/>
    </xf>
    <xf borderId="2" fillId="2" fontId="7" numFmtId="0" xfId="0" applyAlignment="1" applyBorder="1" applyFont="1">
      <alignment horizontal="left"/>
    </xf>
    <xf borderId="7" fillId="0" fontId="1" numFmtId="0" xfId="0" applyAlignment="1" applyBorder="1" applyFont="1">
      <alignment readingOrder="0" shrinkToFit="0" wrapText="1"/>
    </xf>
    <xf borderId="10" fillId="2" fontId="7" numFmtId="0" xfId="0" applyAlignment="1" applyBorder="1" applyFont="1">
      <alignment horizontal="left"/>
    </xf>
    <xf borderId="7" fillId="0" fontId="1" numFmtId="0" xfId="0" applyAlignment="1" applyBorder="1" applyFont="1">
      <alignment shrinkToFit="0" wrapText="1"/>
    </xf>
    <xf borderId="10" fillId="2" fontId="1" numFmtId="0" xfId="0" applyAlignment="1" applyBorder="1" applyFont="1">
      <alignment readingOrder="0" vertical="top"/>
    </xf>
    <xf borderId="2" fillId="2" fontId="7" numFmtId="1" xfId="0" applyAlignment="1" applyBorder="1" applyFont="1" applyNumberFormat="1">
      <alignment shrinkToFit="0" vertical="center" wrapText="1"/>
    </xf>
    <xf borderId="11" fillId="2" fontId="7" numFmtId="0" xfId="0" applyAlignment="1" applyBorder="1" applyFont="1">
      <alignment horizontal="left" shrinkToFit="0" vertical="center" wrapText="1"/>
    </xf>
    <xf borderId="2" fillId="2" fontId="10" numFmtId="0" xfId="0" applyAlignment="1" applyBorder="1" applyFont="1">
      <alignment horizontal="left" readingOrder="0"/>
    </xf>
    <xf borderId="2" fillId="2" fontId="10" numFmtId="0" xfId="0" applyAlignment="1" applyBorder="1" applyFont="1">
      <alignment shrinkToFit="0" vertical="top" wrapText="1"/>
    </xf>
    <xf borderId="12" fillId="0" fontId="10" numFmtId="0" xfId="0" applyAlignment="1" applyBorder="1" applyFont="1">
      <alignment horizontal="left" shrinkToFit="0" vertical="center" wrapText="1"/>
    </xf>
    <xf borderId="10" fillId="2" fontId="1" numFmtId="0" xfId="0" applyAlignment="1" applyBorder="1" applyFont="1">
      <alignment vertical="top"/>
    </xf>
    <xf borderId="13" fillId="0" fontId="8" numFmtId="0" xfId="0" applyBorder="1" applyFont="1"/>
    <xf borderId="8" fillId="2" fontId="7" numFmtId="0" xfId="0" applyAlignment="1" applyBorder="1" applyFont="1">
      <alignment vertical="center"/>
    </xf>
    <xf borderId="14" fillId="0" fontId="8" numFmtId="0" xfId="0" applyBorder="1" applyFont="1"/>
    <xf borderId="1" fillId="2" fontId="7" numFmtId="1" xfId="0" applyBorder="1" applyFont="1" applyNumberFormat="1"/>
    <xf borderId="7" fillId="0" fontId="10" numFmtId="14" xfId="0" applyAlignment="1" applyBorder="1" applyFont="1" applyNumberFormat="1">
      <alignment horizontal="left" readingOrder="0" shrinkToFit="0" wrapText="1"/>
    </xf>
    <xf borderId="10" fillId="2" fontId="10" numFmtId="165" xfId="0" applyAlignment="1" applyBorder="1" applyFont="1" applyNumberFormat="1">
      <alignment readingOrder="0" vertical="top"/>
    </xf>
    <xf borderId="1" fillId="2" fontId="1" numFmtId="0" xfId="0" applyAlignment="1" applyBorder="1" applyFont="1">
      <alignment vertical="center"/>
    </xf>
    <xf borderId="2" fillId="2" fontId="10" numFmtId="0" xfId="0" applyAlignment="1" applyBorder="1" applyFont="1">
      <alignment vertical="top"/>
    </xf>
    <xf borderId="1" fillId="2" fontId="1" numFmtId="1" xfId="0" applyAlignment="1" applyBorder="1" applyFont="1" applyNumberFormat="1">
      <alignment vertical="center"/>
    </xf>
    <xf borderId="1" fillId="2" fontId="7" numFmtId="0" xfId="0" applyBorder="1" applyFont="1"/>
    <xf borderId="1" fillId="2" fontId="10" numFmtId="0" xfId="0" applyBorder="1" applyFont="1"/>
    <xf borderId="15" fillId="0" fontId="8" numFmtId="0" xfId="0" applyBorder="1" applyFont="1"/>
    <xf borderId="1" fillId="2" fontId="1" numFmtId="0" xfId="0" applyAlignment="1" applyBorder="1" applyFont="1">
      <alignment horizontal="left" vertical="center"/>
    </xf>
    <xf borderId="16" fillId="2" fontId="1" numFmtId="0" xfId="0" applyBorder="1" applyFont="1"/>
    <xf borderId="17" fillId="0" fontId="8" numFmtId="0" xfId="0" applyBorder="1" applyFont="1"/>
    <xf borderId="1" fillId="2" fontId="9" numFmtId="0" xfId="0" applyAlignment="1" applyBorder="1" applyFont="1">
      <alignment horizontal="center"/>
    </xf>
    <xf borderId="18" fillId="0" fontId="8" numFmtId="0" xfId="0" applyBorder="1" applyFont="1"/>
    <xf borderId="8" fillId="3" fontId="11" numFmtId="1" xfId="0" applyAlignment="1" applyBorder="1" applyFill="1" applyFont="1" applyNumberFormat="1">
      <alignment horizontal="center" shrinkToFit="0" vertical="center" wrapText="1"/>
    </xf>
    <xf borderId="19" fillId="0" fontId="8" numFmtId="0" xfId="0" applyBorder="1" applyFont="1"/>
    <xf borderId="8" fillId="3" fontId="11" numFmtId="0" xfId="0" applyAlignment="1" applyBorder="1" applyFont="1">
      <alignment horizontal="center" shrinkToFit="0" vertical="center" wrapText="1"/>
    </xf>
    <xf quotePrefix="1" borderId="7" fillId="0" fontId="10" numFmtId="0" xfId="0" applyAlignment="1" applyBorder="1" applyFont="1">
      <alignment horizontal="left" shrinkToFit="0" wrapText="1"/>
    </xf>
    <xf borderId="3" fillId="2" fontId="1" numFmtId="0" xfId="0" applyBorder="1" applyFont="1"/>
    <xf borderId="1" fillId="2" fontId="7" numFmtId="0" xfId="0" applyAlignment="1" applyBorder="1" applyFont="1">
      <alignment shrinkToFit="0" wrapText="1"/>
    </xf>
    <xf borderId="8" fillId="2" fontId="1" numFmtId="0" xfId="0" applyAlignment="1" applyBorder="1" applyFont="1">
      <alignment horizontal="center" readingOrder="0" vertical="center"/>
    </xf>
    <xf borderId="8" fillId="2" fontId="12" numFmtId="49" xfId="0" applyAlignment="1" applyBorder="1" applyFont="1" applyNumberFormat="1">
      <alignment readingOrder="0" shrinkToFit="0" vertical="bottom" wrapText="0"/>
    </xf>
    <xf borderId="20" fillId="4" fontId="13" numFmtId="0" xfId="0" applyAlignment="1" applyBorder="1" applyFill="1" applyFont="1">
      <alignment horizontal="center"/>
    </xf>
    <xf borderId="8" fillId="2" fontId="14" numFmtId="0" xfId="0" applyAlignment="1" applyBorder="1" applyFont="1">
      <alignment readingOrder="0" shrinkToFit="0" vertical="bottom" wrapText="0"/>
    </xf>
    <xf borderId="21" fillId="4" fontId="13" numFmtId="0" xfId="0" applyAlignment="1" applyBorder="1" applyFont="1">
      <alignment horizontal="center"/>
    </xf>
    <xf borderId="8" fillId="2" fontId="12" numFmtId="0" xfId="0" applyAlignment="1" applyBorder="1" applyFont="1">
      <alignment readingOrder="0" shrinkToFit="0" vertical="bottom" wrapText="0"/>
    </xf>
    <xf borderId="21" fillId="4" fontId="13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left" shrinkToFit="0" wrapText="1"/>
    </xf>
    <xf borderId="22" fillId="4" fontId="13" numFmtId="0" xfId="0" applyAlignment="1" applyBorder="1" applyFont="1">
      <alignment horizontal="center"/>
    </xf>
    <xf borderId="23" fillId="4" fontId="13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vertical="center" wrapText="1"/>
    </xf>
    <xf borderId="8" fillId="5" fontId="1" numFmtId="0" xfId="0" applyAlignment="1" applyBorder="1" applyFill="1" applyFont="1">
      <alignment horizontal="center" readingOrder="0"/>
    </xf>
    <xf borderId="24" fillId="4" fontId="13" numFmtId="164" xfId="0" applyAlignment="1" applyBorder="1" applyFont="1" applyNumberFormat="1">
      <alignment horizontal="center" shrinkToFit="0" vertical="center" wrapText="1"/>
    </xf>
    <xf borderId="8" fillId="6" fontId="12" numFmtId="49" xfId="0" applyAlignment="1" applyBorder="1" applyFill="1" applyFont="1" applyNumberFormat="1">
      <alignment readingOrder="0" shrinkToFit="0" vertical="bottom" wrapText="0"/>
    </xf>
    <xf borderId="21" fillId="4" fontId="13" numFmtId="0" xfId="0" applyAlignment="1" applyBorder="1" applyFont="1">
      <alignment horizontal="center" shrinkToFit="0" vertical="center" wrapText="1"/>
    </xf>
    <xf borderId="6" fillId="2" fontId="1" numFmtId="0" xfId="0" applyBorder="1" applyFont="1"/>
    <xf borderId="25" fillId="4" fontId="13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left" shrinkToFit="0" vertical="center" wrapText="1"/>
    </xf>
    <xf borderId="26" fillId="4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top" wrapText="1"/>
    </xf>
    <xf borderId="27" fillId="0" fontId="1" numFmtId="166" xfId="0" applyAlignment="1" applyBorder="1" applyFont="1" applyNumberFormat="1">
      <alignment readingOrder="0" shrinkToFit="0" vertical="top" wrapText="1"/>
    </xf>
    <xf borderId="28" fillId="0" fontId="1" numFmtId="49" xfId="0" applyAlignment="1" applyBorder="1" applyFont="1" applyNumberFormat="1">
      <alignment horizontal="center" shrinkToFit="0" vertical="center" wrapText="1"/>
    </xf>
    <xf borderId="27" fillId="0" fontId="1" numFmtId="0" xfId="0" applyAlignment="1" applyBorder="1" applyFont="1">
      <alignment shrinkToFit="0" vertical="top" wrapText="1"/>
    </xf>
    <xf borderId="27" fillId="0" fontId="1" numFmtId="15" xfId="0" applyAlignment="1" applyBorder="1" applyFont="1" applyNumberFormat="1">
      <alignment shrinkToFit="0" vertical="top" wrapText="1"/>
    </xf>
    <xf borderId="8" fillId="2" fontId="16" numFmtId="0" xfId="0" applyAlignment="1" applyBorder="1" applyFont="1">
      <alignment readingOrder="0" shrinkToFit="0" vertical="bottom" wrapText="0"/>
    </xf>
    <xf borderId="27" fillId="0" fontId="17" numFmtId="0" xfId="0" applyAlignment="1" applyBorder="1" applyFont="1">
      <alignment shrinkToFit="0" vertical="top" wrapText="1"/>
    </xf>
    <xf borderId="27" fillId="0" fontId="1" numFmtId="164" xfId="0" applyAlignment="1" applyBorder="1" applyFont="1" applyNumberFormat="1">
      <alignment readingOrder="0" shrinkToFit="0" vertical="top" wrapText="1"/>
    </xf>
    <xf borderId="29" fillId="0" fontId="1" numFmtId="49" xfId="0" applyAlignment="1" applyBorder="1" applyFont="1" applyNumberFormat="1">
      <alignment horizontal="center" readingOrder="0" shrinkToFit="0" vertical="center" wrapText="1"/>
    </xf>
    <xf borderId="30" fillId="0" fontId="1" numFmtId="49" xfId="0" applyAlignment="1" applyBorder="1" applyFont="1" applyNumberFormat="1">
      <alignment horizontal="center" readingOrder="0" shrinkToFit="0" vertical="center" wrapText="1"/>
    </xf>
    <xf borderId="29" fillId="0" fontId="1" numFmtId="164" xfId="0" applyAlignment="1" applyBorder="1" applyFont="1" applyNumberFormat="1">
      <alignment horizontal="left" shrinkToFit="0" vertical="top" wrapText="1"/>
    </xf>
    <xf borderId="29" fillId="0" fontId="1" numFmtId="49" xfId="0" applyAlignment="1" applyBorder="1" applyFont="1" applyNumberFormat="1">
      <alignment horizontal="center" shrinkToFit="0" vertical="center" wrapText="1"/>
    </xf>
    <xf borderId="30" fillId="0" fontId="8" numFmtId="0" xfId="0" applyBorder="1" applyFont="1"/>
    <xf borderId="31" fillId="4" fontId="18" numFmtId="0" xfId="0" applyAlignment="1" applyBorder="1" applyFont="1">
      <alignment horizontal="center"/>
    </xf>
    <xf borderId="32" fillId="4" fontId="13" numFmtId="0" xfId="0" applyBorder="1" applyFont="1"/>
    <xf borderId="27" fillId="0" fontId="1" numFmtId="0" xfId="0" applyAlignment="1" applyBorder="1" applyFont="1">
      <alignment shrinkToFit="0" wrapText="1"/>
    </xf>
    <xf borderId="8" fillId="2" fontId="15" numFmtId="1" xfId="0" applyAlignment="1" applyBorder="1" applyFont="1" applyNumberFormat="1">
      <alignment readingOrder="0" shrinkToFit="0" vertical="center" wrapText="1"/>
    </xf>
    <xf borderId="32" fillId="4" fontId="18" numFmtId="0" xfId="0" applyAlignment="1" applyBorder="1" applyFont="1">
      <alignment horizontal="center"/>
    </xf>
    <xf borderId="33" fillId="4" fontId="18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2" fontId="1" numFmtId="10" xfId="0" applyAlignment="1" applyBorder="1" applyFont="1" applyNumberFormat="1">
      <alignment horizontal="center"/>
    </xf>
    <xf borderId="1" fillId="2" fontId="1" numFmtId="9" xfId="0" applyAlignment="1" applyBorder="1" applyFont="1" applyNumberFormat="1">
      <alignment horizontal="center"/>
    </xf>
    <xf borderId="34" fillId="2" fontId="1" numFmtId="1" xfId="0" applyBorder="1" applyFont="1" applyNumberFormat="1"/>
    <xf borderId="1" fillId="2" fontId="7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1" fillId="2" fontId="19" numFmtId="2" xfId="0" applyAlignment="1" applyBorder="1" applyFont="1" applyNumberFormat="1">
      <alignment horizontal="right" shrinkToFit="0" wrapText="1"/>
    </xf>
    <xf borderId="1" fillId="2" fontId="20" numFmtId="0" xfId="0" applyAlignment="1" applyBorder="1" applyFont="1">
      <alignment horizontal="center" shrinkToFit="0" wrapText="1"/>
    </xf>
    <xf borderId="35" fillId="2" fontId="20" numFmtId="0" xfId="0" applyBorder="1" applyFont="1"/>
    <xf borderId="35" fillId="2" fontId="20" numFmtId="0" xfId="0" applyAlignment="1" applyBorder="1" applyFont="1">
      <alignment shrinkToFit="0" wrapText="1"/>
    </xf>
    <xf borderId="35" fillId="2" fontId="1" numFmtId="0" xfId="0" applyAlignment="1" applyBorder="1" applyFont="1">
      <alignment shrinkToFit="0" wrapText="1"/>
    </xf>
    <xf borderId="1" fillId="2" fontId="9" numFmtId="0" xfId="0" applyAlignment="1" applyBorder="1" applyFont="1">
      <alignment shrinkToFit="0" wrapText="1"/>
    </xf>
    <xf borderId="1" fillId="2" fontId="21" numFmtId="0" xfId="0" applyAlignment="1" applyBorder="1" applyFont="1">
      <alignment shrinkToFit="0" wrapText="1"/>
    </xf>
    <xf borderId="1" fillId="2" fontId="20" numFmtId="0" xfId="0" applyBorder="1" applyFont="1"/>
    <xf borderId="36" fillId="2" fontId="9" numFmtId="0" xfId="0" applyAlignment="1" applyBorder="1" applyFont="1">
      <alignment horizontal="left" shrinkToFit="0" wrapText="1"/>
    </xf>
    <xf borderId="2" fillId="2" fontId="1" numFmtId="0" xfId="0" applyAlignment="1" applyBorder="1" applyFont="1">
      <alignment horizontal="left" readingOrder="0" shrinkToFit="0" wrapText="1"/>
    </xf>
    <xf borderId="37" fillId="0" fontId="8" numFmtId="0" xfId="0" applyBorder="1" applyFont="1"/>
    <xf borderId="38" fillId="2" fontId="9" numFmtId="0" xfId="0" applyAlignment="1" applyBorder="1" applyFont="1">
      <alignment horizontal="left" shrinkToFit="0" wrapText="1"/>
    </xf>
    <xf borderId="2" fillId="2" fontId="1" numFmtId="0" xfId="0" applyAlignment="1" applyBorder="1" applyFont="1">
      <alignment horizontal="left" shrinkToFit="0" wrapText="1"/>
    </xf>
    <xf borderId="39" fillId="2" fontId="1" numFmtId="0" xfId="0" applyAlignment="1" applyBorder="1" applyFont="1">
      <alignment horizontal="left" readingOrder="0" shrinkToFit="0" wrapText="1"/>
    </xf>
    <xf borderId="40" fillId="0" fontId="8" numFmtId="0" xfId="0" applyBorder="1" applyFont="1"/>
    <xf borderId="41" fillId="0" fontId="8" numFmtId="0" xfId="0" applyBorder="1" applyFont="1"/>
    <xf borderId="1" fillId="2" fontId="4" numFmtId="0" xfId="0" applyBorder="1" applyFont="1"/>
    <xf borderId="38" fillId="2" fontId="4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wrapText="1"/>
    </xf>
    <xf borderId="1" fillId="2" fontId="21" numFmtId="0" xfId="0" applyAlignment="1" applyBorder="1" applyFont="1">
      <alignment horizontal="center" shrinkToFit="0" wrapText="1"/>
    </xf>
    <xf borderId="43" fillId="2" fontId="20" numFmtId="0" xfId="0" applyAlignment="1" applyBorder="1" applyFont="1">
      <alignment horizontal="center" vertical="center"/>
    </xf>
    <xf borderId="44" fillId="2" fontId="20" numFmtId="0" xfId="0" applyAlignment="1" applyBorder="1" applyFont="1">
      <alignment horizontal="center" vertical="center"/>
    </xf>
    <xf borderId="45" fillId="2" fontId="20" numFmtId="0" xfId="0" applyAlignment="1" applyBorder="1" applyFont="1">
      <alignment horizontal="center" vertical="center"/>
    </xf>
    <xf borderId="46" fillId="2" fontId="20" numFmtId="0" xfId="0" applyAlignment="1" applyBorder="1" applyFont="1">
      <alignment horizontal="center" shrinkToFit="0" vertical="center" wrapText="1"/>
    </xf>
    <xf borderId="47" fillId="0" fontId="8" numFmtId="0" xfId="0" applyBorder="1" applyFont="1"/>
    <xf borderId="8" fillId="4" fontId="13" numFmtId="0" xfId="0" applyAlignment="1" applyBorder="1" applyFont="1">
      <alignment horizontal="center" shrinkToFit="0" vertical="center" wrapText="1"/>
    </xf>
    <xf borderId="48" fillId="4" fontId="13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42" fillId="7" fontId="9" numFmtId="0" xfId="0" applyAlignment="1" applyBorder="1" applyFill="1" applyFont="1">
      <alignment horizontal="left" vertical="center"/>
    </xf>
    <xf borderId="42" fillId="7" fontId="9" numFmtId="0" xfId="0" applyAlignment="1" applyBorder="1" applyFont="1">
      <alignment horizontal="left" readingOrder="0" vertical="center"/>
    </xf>
    <xf borderId="49" fillId="7" fontId="9" numFmtId="0" xfId="0" applyAlignment="1" applyBorder="1" applyFont="1">
      <alignment horizontal="left" vertical="center"/>
    </xf>
    <xf borderId="10" fillId="7" fontId="9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8" fillId="2" fontId="1" numFmtId="0" xfId="0" applyAlignment="1" applyBorder="1" applyFont="1">
      <alignment shrinkToFit="0" vertical="top" wrapText="1"/>
    </xf>
    <xf borderId="8" fillId="2" fontId="1" numFmtId="0" xfId="0" applyAlignment="1" applyBorder="1" applyFont="1">
      <alignment readingOrder="0" shrinkToFit="0" vertical="top" wrapText="1"/>
    </xf>
    <xf borderId="8" fillId="2" fontId="10" numFmtId="0" xfId="0" applyAlignment="1" applyBorder="1" applyFont="1">
      <alignment shrinkToFit="0" vertical="top" wrapText="1"/>
    </xf>
    <xf quotePrefix="1" borderId="8" fillId="2" fontId="20" numFmtId="0" xfId="0" applyAlignment="1" applyBorder="1" applyFont="1">
      <alignment horizontal="left" shrinkToFit="0" vertical="top" wrapText="1"/>
    </xf>
    <xf borderId="8" fillId="2" fontId="10" numFmtId="0" xfId="0" applyAlignment="1" applyBorder="1" applyFont="1">
      <alignment horizontal="left" shrinkToFit="0" vertical="top" wrapText="1"/>
    </xf>
    <xf borderId="8" fillId="2" fontId="1" numFmtId="165" xfId="0" applyAlignment="1" applyBorder="1" applyFont="1" applyNumberFormat="1">
      <alignment readingOrder="0" shrinkToFit="0" vertical="center" wrapText="1"/>
    </xf>
    <xf borderId="1" fillId="2" fontId="21" numFmtId="0" xfId="0" applyAlignment="1" applyBorder="1" applyFont="1">
      <alignment shrinkToFit="0" vertical="top" wrapText="1"/>
    </xf>
    <xf borderId="1" fillId="2" fontId="20" numFmtId="0" xfId="0" applyAlignment="1" applyBorder="1" applyFont="1">
      <alignment vertical="top"/>
    </xf>
    <xf borderId="8" fillId="2" fontId="20" numFmtId="0" xfId="0" applyAlignment="1" applyBorder="1" applyFont="1">
      <alignment horizontal="left" shrinkToFit="0" vertical="top" wrapText="1"/>
    </xf>
    <xf borderId="0" fillId="2" fontId="22" numFmtId="165" xfId="0" applyAlignment="1" applyFont="1" applyNumberFormat="1">
      <alignment horizontal="right" readingOrder="0" vertical="center"/>
    </xf>
    <xf borderId="8" fillId="2" fontId="1" numFmtId="0" xfId="0" applyBorder="1" applyFont="1"/>
    <xf borderId="1" fillId="2" fontId="21" numFmtId="0" xfId="0" applyBorder="1" applyFont="1"/>
    <xf borderId="7" fillId="2" fontId="1" numFmtId="0" xfId="0" applyAlignment="1" applyBorder="1" applyFont="1">
      <alignment readingOrder="0" shrinkToFit="0" vertical="top" wrapText="1"/>
    </xf>
    <xf borderId="7" fillId="2" fontId="1" numFmtId="0" xfId="0" applyAlignment="1" applyBorder="1" applyFont="1">
      <alignment shrinkToFit="0" vertical="top" wrapText="1"/>
    </xf>
    <xf borderId="7" fillId="2" fontId="12" numFmtId="165" xfId="0" applyAlignment="1" applyBorder="1" applyFont="1" applyNumberFormat="1">
      <alignment horizontal="right"/>
    </xf>
    <xf borderId="7" fillId="2" fontId="23" numFmtId="0" xfId="0" applyAlignment="1" applyBorder="1" applyFont="1">
      <alignment shrinkToFit="0" vertical="top" wrapText="1"/>
    </xf>
    <xf borderId="6" fillId="2" fontId="24" numFmtId="0" xfId="0" applyAlignment="1" applyBorder="1" applyFont="1">
      <alignment vertical="top"/>
    </xf>
    <xf borderId="6" fillId="2" fontId="24" numFmtId="0" xfId="0" applyAlignment="1" applyBorder="1" applyFont="1">
      <alignment vertical="bottom"/>
    </xf>
    <xf borderId="6" fillId="2" fontId="25" numFmtId="0" xfId="0" applyAlignment="1" applyBorder="1" applyFont="1">
      <alignment vertical="top"/>
    </xf>
    <xf borderId="6" fillId="2" fontId="25" numFmtId="0" xfId="0" applyAlignment="1" applyBorder="1" applyFont="1">
      <alignment vertical="bottom"/>
    </xf>
    <xf borderId="0" fillId="0" fontId="26" numFmtId="0" xfId="0" applyAlignment="1" applyFont="1">
      <alignment horizontal="left"/>
    </xf>
    <xf borderId="0" fillId="0" fontId="26" numFmtId="0" xfId="0" applyAlignment="1" applyFont="1">
      <alignment horizontal="left" vertical="top"/>
    </xf>
    <xf borderId="8" fillId="0" fontId="4" numFmtId="0" xfId="0" applyAlignment="1" applyBorder="1" applyFont="1">
      <alignment horizontal="left"/>
    </xf>
    <xf borderId="2" fillId="0" fontId="20" numFmtId="0" xfId="0" applyAlignment="1" applyBorder="1" applyFont="1">
      <alignment horizontal="left" readingOrder="0" shrinkToFit="0" wrapText="1"/>
    </xf>
    <xf borderId="2" fillId="0" fontId="20" numFmtId="0" xfId="0" applyAlignment="1" applyBorder="1" applyFont="1">
      <alignment horizontal="left" readingOrder="0"/>
    </xf>
    <xf borderId="8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50" fillId="2" fontId="20" numFmtId="0" xfId="0" applyAlignment="1" applyBorder="1" applyFont="1">
      <alignment horizontal="center" vertical="center"/>
    </xf>
    <xf borderId="11" fillId="2" fontId="12" numFmtId="0" xfId="0" applyAlignment="1" applyBorder="1" applyFont="1">
      <alignment readingOrder="0" shrinkToFit="0" vertical="bottom" wrapText="0"/>
    </xf>
    <xf borderId="51" fillId="4" fontId="13" numFmtId="0" xfId="0" applyAlignment="1" applyBorder="1" applyFont="1">
      <alignment horizontal="center" shrinkToFit="0" vertical="center" wrapText="1"/>
    </xf>
    <xf borderId="8" fillId="2" fontId="12" numFmtId="0" xfId="0" applyAlignment="1" applyBorder="1" applyFont="1">
      <alignment shrinkToFit="0" vertical="bottom" wrapText="0"/>
    </xf>
    <xf borderId="52" fillId="7" fontId="9" numFmtId="0" xfId="0" applyAlignment="1" applyBorder="1" applyFont="1">
      <alignment vertical="top"/>
    </xf>
    <xf borderId="8" fillId="2" fontId="1" numFmtId="165" xfId="0" applyAlignment="1" applyBorder="1" applyFont="1" applyNumberFormat="1">
      <alignment readingOrder="0" shrinkToFit="0" vertical="top" wrapText="1"/>
    </xf>
    <xf borderId="1" fillId="7" fontId="9" numFmtId="0" xfId="0" applyAlignment="1" applyBorder="1" applyFont="1">
      <alignment readingOrder="0" vertical="top"/>
    </xf>
    <xf borderId="6" fillId="2" fontId="21" numFmtId="0" xfId="0" applyAlignment="1" applyBorder="1" applyFont="1">
      <alignment shrinkToFit="0" vertical="top" wrapText="1"/>
    </xf>
    <xf borderId="1" fillId="7" fontId="9" numFmtId="0" xfId="0" applyAlignment="1" applyBorder="1" applyFont="1">
      <alignment vertical="top"/>
    </xf>
    <xf borderId="53" fillId="0" fontId="8" numFmtId="0" xfId="0" applyBorder="1" applyFont="1"/>
    <xf borderId="54" fillId="7" fontId="9" numFmtId="0" xfId="0" applyAlignment="1" applyBorder="1" applyFont="1">
      <alignment vertical="top"/>
    </xf>
    <xf borderId="8" fillId="2" fontId="22" numFmtId="165" xfId="0" applyAlignment="1" applyBorder="1" applyFont="1" applyNumberFormat="1">
      <alignment horizontal="right" readingOrder="0"/>
    </xf>
    <xf borderId="51" fillId="2" fontId="1" numFmtId="0" xfId="0" applyAlignment="1" applyBorder="1" applyFont="1">
      <alignment readingOrder="0" shrinkToFit="0" vertical="top" wrapText="1"/>
    </xf>
    <xf quotePrefix="1" borderId="8" fillId="2" fontId="20" numFmtId="0" xfId="0" applyAlignment="1" applyBorder="1" applyFont="1">
      <alignment readingOrder="0" shrinkToFit="0" vertical="top" wrapText="1"/>
    </xf>
    <xf borderId="42" fillId="2" fontId="20" numFmtId="0" xfId="0" applyAlignment="1" applyBorder="1" applyFont="1">
      <alignment shrinkToFit="0" vertical="top" wrapText="1"/>
    </xf>
    <xf borderId="8" fillId="0" fontId="20" numFmtId="0" xfId="0" applyAlignment="1" applyBorder="1" applyFont="1">
      <alignment vertical="top"/>
    </xf>
    <xf borderId="8" fillId="0" fontId="20" numFmtId="14" xfId="0" applyAlignment="1" applyBorder="1" applyFont="1" applyNumberFormat="1">
      <alignment readingOrder="0" vertical="top"/>
    </xf>
    <xf borderId="48" fillId="2" fontId="1" numFmtId="0" xfId="0" applyAlignment="1" applyBorder="1" applyFont="1">
      <alignment readingOrder="0" shrinkToFit="0" vertical="top" wrapText="1"/>
    </xf>
    <xf borderId="10" fillId="2" fontId="1" numFmtId="0" xfId="0" applyAlignment="1" applyBorder="1" applyFont="1">
      <alignment shrinkToFit="0" vertical="top" wrapText="1"/>
    </xf>
    <xf quotePrefix="1" borderId="48" fillId="2" fontId="20" numFmtId="0" xfId="0" applyAlignment="1" applyBorder="1" applyFont="1">
      <alignment shrinkToFit="0" vertical="top" wrapText="1"/>
    </xf>
    <xf borderId="42" fillId="2" fontId="1" numFmtId="0" xfId="0" applyAlignment="1" applyBorder="1" applyFont="1">
      <alignment shrinkToFit="0" vertical="top" wrapText="1"/>
    </xf>
    <xf borderId="48" fillId="2" fontId="1" numFmtId="0" xfId="0" applyAlignment="1" applyBorder="1" applyFont="1">
      <alignment shrinkToFit="0" vertical="top" wrapText="1"/>
    </xf>
    <xf quotePrefix="1" borderId="8" fillId="2" fontId="1" numFmtId="0" xfId="0" applyAlignment="1" applyBorder="1" applyFont="1">
      <alignment readingOrder="0" shrinkToFit="0" vertical="top" wrapText="1"/>
    </xf>
    <xf borderId="55" fillId="2" fontId="1" numFmtId="0" xfId="0" applyAlignment="1" applyBorder="1" applyFont="1">
      <alignment shrinkToFit="0" vertical="top" wrapText="1"/>
    </xf>
    <xf borderId="11" fillId="2" fontId="1" numFmtId="0" xfId="0" applyAlignment="1" applyBorder="1" applyFont="1">
      <alignment shrinkToFit="0" vertical="top" wrapText="1"/>
    </xf>
    <xf borderId="56" fillId="2" fontId="1" numFmtId="0" xfId="0" applyAlignment="1" applyBorder="1" applyFont="1">
      <alignment shrinkToFit="0" vertical="top" wrapText="1"/>
    </xf>
    <xf borderId="11" fillId="2" fontId="1" numFmtId="0" xfId="0" applyAlignment="1" applyBorder="1" applyFont="1">
      <alignment readingOrder="0" shrinkToFit="0" vertical="top" wrapText="1"/>
    </xf>
    <xf borderId="57" fillId="2" fontId="1" numFmtId="0" xfId="0" applyAlignment="1" applyBorder="1" applyFont="1">
      <alignment readingOrder="0" shrinkToFit="0" vertical="top" wrapText="1"/>
    </xf>
    <xf borderId="11" fillId="2" fontId="12" numFmtId="0" xfId="0" applyAlignment="1" applyBorder="1" applyFont="1">
      <alignment readingOrder="0" shrinkToFit="0" vertical="center" wrapText="0"/>
    </xf>
    <xf borderId="2" fillId="2" fontId="1" numFmtId="0" xfId="0" applyAlignment="1" applyBorder="1" applyFont="1">
      <alignment readingOrder="0" shrinkToFit="0" vertical="top" wrapText="1"/>
    </xf>
    <xf borderId="11" fillId="2" fontId="22" numFmtId="165" xfId="0" applyAlignment="1" applyBorder="1" applyFont="1" applyNumberFormat="1">
      <alignment horizontal="right" readingOrder="0"/>
    </xf>
    <xf borderId="6" fillId="2" fontId="21" numFmtId="0" xfId="0" applyBorder="1" applyFont="1"/>
    <xf borderId="8" fillId="2" fontId="12" numFmtId="0" xfId="0" applyAlignment="1" applyBorder="1" applyFont="1">
      <alignment readingOrder="0" shrinkToFit="0" vertical="center" wrapText="0"/>
    </xf>
    <xf quotePrefix="1" borderId="8" fillId="2" fontId="20" numFmtId="0" xfId="0" applyAlignment="1" applyBorder="1" applyFont="1">
      <alignment shrinkToFit="0" vertical="top" wrapText="1"/>
    </xf>
    <xf borderId="58" fillId="7" fontId="9" numFmtId="0" xfId="0" applyAlignment="1" applyBorder="1" applyFont="1">
      <alignment vertical="top"/>
    </xf>
    <xf borderId="34" fillId="7" fontId="9" numFmtId="0" xfId="0" applyAlignment="1" applyBorder="1" applyFont="1">
      <alignment readingOrder="0" vertical="top"/>
    </xf>
    <xf borderId="34" fillId="7" fontId="9" numFmtId="0" xfId="0" applyAlignment="1" applyBorder="1" applyFont="1">
      <alignment vertical="top"/>
    </xf>
    <xf borderId="59" fillId="2" fontId="1" numFmtId="0" xfId="0" applyAlignment="1" applyBorder="1" applyFont="1">
      <alignment readingOrder="0" shrinkToFit="0" vertical="top" wrapText="1"/>
    </xf>
    <xf borderId="2" fillId="0" fontId="20" numFmtId="0" xfId="0" applyAlignment="1" applyBorder="1" applyFont="1">
      <alignment shrinkToFit="0" vertical="top" wrapText="1"/>
    </xf>
    <xf borderId="10" fillId="2" fontId="1" numFmtId="0" xfId="0" applyAlignment="1" applyBorder="1" applyFont="1">
      <alignment readingOrder="0" shrinkToFit="0" vertical="top" wrapText="1"/>
    </xf>
    <xf borderId="8" fillId="2" fontId="12" numFmtId="0" xfId="0" applyAlignment="1" applyBorder="1" applyFont="1">
      <alignment shrinkToFit="0" vertical="bottom" wrapText="0"/>
    </xf>
    <xf borderId="42" fillId="2" fontId="1" numFmtId="0" xfId="0" applyAlignment="1" applyBorder="1" applyFont="1">
      <alignment readingOrder="0" shrinkToFit="0" vertical="top" wrapText="1"/>
    </xf>
    <xf borderId="2" fillId="0" fontId="20" numFmtId="0" xfId="0" applyAlignment="1" applyBorder="1" applyFont="1">
      <alignment readingOrder="0" shrinkToFit="0" vertical="top" wrapText="1"/>
    </xf>
    <xf borderId="8" fillId="7" fontId="9" numFmtId="0" xfId="0" applyAlignment="1" applyBorder="1" applyFont="1">
      <alignment horizontal="left" vertical="center"/>
    </xf>
    <xf borderId="8" fillId="7" fontId="9" numFmtId="0" xfId="0" applyAlignment="1" applyBorder="1" applyFont="1">
      <alignment horizontal="left" readingOrder="0" vertical="center"/>
    </xf>
    <xf borderId="7" fillId="2" fontId="1" numFmtId="0" xfId="0" applyBorder="1" applyFont="1"/>
    <xf borderId="7" fillId="2" fontId="1" numFmtId="0" xfId="0" applyAlignment="1" applyBorder="1" applyFont="1">
      <alignment shrinkToFit="0" wrapText="1"/>
    </xf>
    <xf borderId="7" fillId="2" fontId="1" numFmtId="0" xfId="0" applyAlignment="1" applyBorder="1" applyFont="1">
      <alignment readingOrder="0"/>
    </xf>
    <xf borderId="6" fillId="2" fontId="1" numFmtId="0" xfId="0" applyAlignment="1" applyBorder="1" applyFont="1">
      <alignment vertical="top"/>
    </xf>
    <xf borderId="11" fillId="2" fontId="27" numFmtId="0" xfId="0" applyAlignment="1" applyBorder="1" applyFont="1">
      <alignment shrinkToFit="0" vertical="top" wrapText="1"/>
    </xf>
    <xf borderId="6" fillId="2" fontId="1" numFmtId="0" xfId="0" applyAlignment="1" applyBorder="1" applyFont="1">
      <alignment vertical="bottom"/>
    </xf>
    <xf borderId="8" fillId="2" fontId="28" numFmtId="0" xfId="0" applyAlignment="1" applyBorder="1" applyFont="1">
      <alignment readingOrder="0" shrinkToFit="0" vertical="center" wrapText="0"/>
    </xf>
    <xf borderId="15" fillId="2" fontId="1" numFmtId="0" xfId="0" applyBorder="1" applyFont="1"/>
    <xf borderId="19" fillId="2" fontId="1" numFmtId="0" xfId="0" applyBorder="1" applyFont="1"/>
    <xf borderId="19" fillId="2" fontId="1" numFmtId="0" xfId="0" applyAlignment="1" applyBorder="1" applyFont="1">
      <alignment shrinkToFit="0" wrapText="1"/>
    </xf>
    <xf borderId="19" fillId="2" fontId="1" numFmtId="0" xfId="0" applyAlignment="1" applyBorder="1" applyFont="1">
      <alignment readingOrder="0"/>
    </xf>
    <xf borderId="11" fillId="2" fontId="29" numFmtId="165" xfId="0" applyAlignment="1" applyBorder="1" applyFont="1" applyNumberFormat="1">
      <alignment horizontal="right" readingOrder="0"/>
    </xf>
    <xf borderId="60" fillId="2" fontId="1" numFmtId="0" xfId="0" applyAlignment="1" applyBorder="1" applyFont="1">
      <alignment vertical="top"/>
    </xf>
    <xf borderId="60" fillId="2" fontId="1" numFmtId="0" xfId="0" applyAlignment="1" applyBorder="1" applyFont="1">
      <alignment vertical="bottom"/>
    </xf>
    <xf borderId="8" fillId="2" fontId="27" numFmtId="0" xfId="0" applyAlignment="1" applyBorder="1" applyFont="1">
      <alignment shrinkToFit="0" vertical="top" wrapText="1"/>
    </xf>
    <xf borderId="60" fillId="2" fontId="1" numFmtId="0" xfId="0" applyBorder="1" applyFont="1"/>
    <xf borderId="8" fillId="2" fontId="27" numFmtId="0" xfId="0" applyBorder="1" applyFont="1"/>
    <xf borderId="8" fillId="2" fontId="29" numFmtId="165" xfId="0" applyAlignment="1" applyBorder="1" applyFont="1" applyNumberFormat="1">
      <alignment horizontal="right" readingOrder="0"/>
    </xf>
    <xf borderId="0" fillId="2" fontId="22" numFmtId="0" xfId="0" applyAlignment="1" applyFont="1">
      <alignment horizontal="left" readingOrder="0"/>
    </xf>
    <xf borderId="61" fillId="7" fontId="1" numFmtId="0" xfId="0" applyAlignment="1" applyBorder="1" applyFont="1">
      <alignment vertical="top"/>
    </xf>
    <xf borderId="8" fillId="7" fontId="1" numFmtId="0" xfId="0" applyBorder="1" applyFont="1"/>
    <xf borderId="62" fillId="7" fontId="9" numFmtId="0" xfId="0" applyAlignment="1" applyBorder="1" applyFont="1">
      <alignment readingOrder="0" shrinkToFit="0" vertical="top" wrapText="0"/>
    </xf>
    <xf borderId="9" fillId="7" fontId="9" numFmtId="0" xfId="0" applyBorder="1" applyFont="1"/>
    <xf borderId="62" fillId="7" fontId="1" numFmtId="0" xfId="0" applyAlignment="1" applyBorder="1" applyFont="1">
      <alignment vertical="top"/>
    </xf>
    <xf borderId="9" fillId="7" fontId="1" numFmtId="0" xfId="0" applyBorder="1" applyFont="1"/>
    <xf borderId="62" fillId="7" fontId="1" numFmtId="0" xfId="0" applyAlignment="1" applyBorder="1" applyFont="1">
      <alignment vertical="top"/>
    </xf>
    <xf borderId="7" fillId="7" fontId="1" numFmtId="0" xfId="0" applyBorder="1" applyFont="1"/>
    <xf borderId="62" fillId="7" fontId="1" numFmtId="165" xfId="0" applyAlignment="1" applyBorder="1" applyFont="1" applyNumberFormat="1">
      <alignment vertical="top"/>
    </xf>
    <xf borderId="19" fillId="7" fontId="30" numFmtId="0" xfId="0" applyAlignment="1" applyBorder="1" applyFont="1">
      <alignment vertical="top"/>
    </xf>
    <xf borderId="53" fillId="2" fontId="1" numFmtId="0" xfId="0" applyAlignment="1" applyBorder="1" applyFont="1">
      <alignment horizontal="center" readingOrder="0"/>
    </xf>
    <xf borderId="15" fillId="2" fontId="1" numFmtId="0" xfId="0" applyAlignment="1" applyBorder="1" applyFont="1">
      <alignment shrinkToFit="0" vertical="top" wrapText="1"/>
    </xf>
    <xf borderId="63" fillId="2" fontId="1" numFmtId="0" xfId="0" applyAlignment="1" applyBorder="1" applyFont="1">
      <alignment shrinkToFit="0" wrapText="1"/>
    </xf>
    <xf borderId="8" fillId="2" fontId="1" numFmtId="0" xfId="0" applyAlignment="1" applyBorder="1" applyFont="1">
      <alignment shrinkToFit="0" vertical="top" wrapText="1"/>
    </xf>
    <xf borderId="63" fillId="2" fontId="1" numFmtId="0" xfId="0" applyBorder="1" applyFont="1"/>
    <xf borderId="8" fillId="2" fontId="1" numFmtId="0" xfId="0" applyAlignment="1" applyBorder="1" applyFont="1">
      <alignment vertical="top"/>
    </xf>
    <xf quotePrefix="1" borderId="8" fillId="2" fontId="20" numFmtId="0" xfId="0" applyAlignment="1" applyBorder="1" applyFont="1">
      <alignment shrinkToFit="0" vertical="top" wrapText="1"/>
    </xf>
    <xf borderId="11" fillId="2" fontId="22" numFmtId="0" xfId="0" applyAlignment="1" applyBorder="1" applyFont="1">
      <alignment horizontal="left" readingOrder="0"/>
    </xf>
    <xf borderId="8" fillId="2" fontId="1" numFmtId="0" xfId="0" applyAlignment="1" applyBorder="1" applyFont="1">
      <alignment vertical="top"/>
    </xf>
    <xf borderId="8" fillId="0" fontId="20" numFmtId="14" xfId="0" applyAlignment="1" applyBorder="1" applyFont="1" applyNumberFormat="1">
      <alignment horizontal="right" vertical="top"/>
    </xf>
    <xf borderId="8" fillId="0" fontId="29" numFmtId="0" xfId="0" applyAlignment="1" applyBorder="1" applyFont="1">
      <alignment vertical="top"/>
    </xf>
    <xf borderId="53" fillId="2" fontId="1" numFmtId="0" xfId="0" applyBorder="1" applyFont="1"/>
    <xf borderId="8" fillId="2" fontId="20" numFmtId="165" xfId="0" applyAlignment="1" applyBorder="1" applyFont="1" applyNumberFormat="1">
      <alignment horizontal="right" readingOrder="0"/>
    </xf>
    <xf borderId="8" fillId="2" fontId="20" numFmtId="0" xfId="0" applyAlignment="1" applyBorder="1" applyFont="1">
      <alignment readingOrder="0" shrinkToFit="0" vertical="bottom" wrapText="0"/>
    </xf>
    <xf borderId="15" fillId="2" fontId="1" numFmtId="0" xfId="0" applyAlignment="1" applyBorder="1" applyFont="1">
      <alignment shrinkToFit="0" vertical="top" wrapText="1"/>
    </xf>
    <xf borderId="11" fillId="2" fontId="1" numFmtId="0" xfId="0" applyAlignment="1" applyBorder="1" applyFont="1">
      <alignment vertical="top"/>
    </xf>
    <xf quotePrefix="1" borderId="8" fillId="2" fontId="1" numFmtId="0" xfId="0" applyAlignment="1" applyBorder="1" applyFont="1">
      <alignment shrinkToFit="0" vertical="top" wrapText="1"/>
    </xf>
    <xf borderId="64" fillId="2" fontId="1" numFmtId="0" xfId="0" applyAlignment="1" applyBorder="1" applyFont="1">
      <alignment shrinkToFit="0" vertical="top" wrapText="1"/>
    </xf>
    <xf borderId="63" fillId="0" fontId="1" numFmtId="0" xfId="0" applyAlignment="1" applyBorder="1" applyFont="1">
      <alignment vertical="bottom"/>
    </xf>
    <xf borderId="63" fillId="2" fontId="1" numFmtId="0" xfId="0" applyAlignment="1" applyBorder="1" applyFont="1">
      <alignment horizontal="center" shrinkToFit="0" wrapText="1"/>
    </xf>
    <xf borderId="61" fillId="7" fontId="1" numFmtId="0" xfId="0" applyAlignment="1" applyBorder="1" applyFont="1">
      <alignment vertical="top"/>
    </xf>
    <xf borderId="62" fillId="7" fontId="9" numFmtId="0" xfId="0" applyAlignment="1" applyBorder="1" applyFont="1">
      <alignment vertical="top"/>
    </xf>
    <xf borderId="19" fillId="2" fontId="1" numFmtId="0" xfId="0" applyAlignment="1" applyBorder="1" applyFont="1">
      <alignment shrinkToFit="0" vertical="top" wrapText="1"/>
    </xf>
    <xf borderId="19" fillId="0" fontId="1" numFmtId="0" xfId="0" applyAlignment="1" applyBorder="1" applyFont="1">
      <alignment vertical="top"/>
    </xf>
    <xf borderId="53" fillId="2" fontId="1" numFmtId="0" xfId="0" applyAlignment="1" applyBorder="1" applyFont="1">
      <alignment horizontal="center"/>
    </xf>
    <xf borderId="19" fillId="0" fontId="20" numFmtId="0" xfId="0" applyAlignment="1" applyBorder="1" applyFont="1">
      <alignment vertical="top"/>
    </xf>
    <xf borderId="19" fillId="0" fontId="29" numFmtId="0" xfId="0" applyAlignment="1" applyBorder="1" applyFont="1">
      <alignment vertical="top"/>
    </xf>
    <xf borderId="15" fillId="2" fontId="1" numFmtId="0" xfId="0" applyAlignment="1" applyBorder="1" applyFont="1">
      <alignment vertical="top"/>
    </xf>
    <xf borderId="19" fillId="2" fontId="1" numFmtId="0" xfId="0" applyAlignment="1" applyBorder="1" applyFont="1">
      <alignment readingOrder="0" vertical="top"/>
    </xf>
    <xf borderId="19" fillId="2" fontId="1" numFmtId="0" xfId="0" applyAlignment="1" applyBorder="1" applyFont="1">
      <alignment vertical="top"/>
    </xf>
    <xf borderId="15" fillId="7" fontId="1" numFmtId="0" xfId="0" applyBorder="1" applyFont="1"/>
    <xf borderId="62" fillId="7" fontId="9" numFmtId="0" xfId="0" applyAlignment="1" applyBorder="1" applyFont="1">
      <alignment shrinkToFit="0" wrapText="1"/>
    </xf>
    <xf borderId="8" fillId="2" fontId="22" numFmtId="0" xfId="0" applyAlignment="1" applyBorder="1" applyFont="1">
      <alignment horizontal="left" readingOrder="0"/>
    </xf>
    <xf borderId="62" fillId="7" fontId="1" numFmtId="0" xfId="0" applyBorder="1" applyFont="1"/>
    <xf borderId="19" fillId="7" fontId="1" numFmtId="0" xfId="0" applyBorder="1" applyFont="1"/>
    <xf borderId="15" fillId="2" fontId="1" numFmtId="0" xfId="0" applyAlignment="1" applyBorder="1" applyFont="1">
      <alignment readingOrder="0"/>
    </xf>
    <xf borderId="19" fillId="2" fontId="1" numFmtId="0" xfId="0" applyAlignment="1" applyBorder="1" applyFont="1">
      <alignment readingOrder="0" shrinkToFit="0" wrapText="1"/>
    </xf>
    <xf borderId="18" fillId="2" fontId="1" numFmtId="0" xfId="0" applyBorder="1" applyFont="1"/>
    <xf borderId="63" fillId="0" fontId="8" numFmtId="0" xfId="0" applyBorder="1" applyFont="1"/>
    <xf borderId="53" fillId="2" fontId="22" numFmtId="0" xfId="0" applyAlignment="1" applyBorder="1" applyFont="1">
      <alignment horizontal="left" readingOrder="0"/>
    </xf>
    <xf borderId="18" fillId="7" fontId="1" numFmtId="0" xfId="0" applyBorder="1" applyFont="1"/>
    <xf borderId="62" fillId="2" fontId="1" numFmtId="0" xfId="0" applyAlignment="1" applyBorder="1" applyFont="1">
      <alignment shrinkToFit="0" wrapText="0"/>
    </xf>
    <xf borderId="34" fillId="2" fontId="1" numFmtId="0" xfId="0" applyBorder="1" applyFont="1"/>
    <xf borderId="15" fillId="2" fontId="22" numFmtId="0" xfId="0" applyAlignment="1" applyBorder="1" applyFont="1">
      <alignment horizontal="left" readingOrder="0"/>
    </xf>
    <xf borderId="18" fillId="2" fontId="1" numFmtId="0" xfId="0" applyAlignment="1" applyBorder="1" applyFont="1">
      <alignment shrinkToFit="0" wrapText="0"/>
    </xf>
    <xf borderId="62" fillId="0" fontId="8" numFmtId="0" xfId="0" applyBorder="1" applyFont="1"/>
    <xf borderId="62" fillId="7" fontId="9" numFmtId="0" xfId="0" applyBorder="1" applyFont="1"/>
    <xf borderId="63" fillId="2" fontId="1" numFmtId="0" xfId="0" applyAlignment="1" applyBorder="1" applyFont="1">
      <alignment horizontal="center"/>
    </xf>
    <xf borderId="0" fillId="2" fontId="1" numFmtId="0" xfId="0" applyFont="1"/>
    <xf borderId="62" fillId="7" fontId="9" numFmtId="0" xfId="0" applyAlignment="1" applyBorder="1" applyFont="1">
      <alignment shrinkToFit="0" wrapText="0"/>
    </xf>
    <xf borderId="53" fillId="7" fontId="1" numFmtId="0" xfId="0" applyAlignment="1" applyBorder="1" applyFont="1">
      <alignment readingOrder="0"/>
    </xf>
    <xf borderId="8" fillId="2" fontId="1" numFmtId="0" xfId="0" applyAlignment="1" applyBorder="1" applyFont="1">
      <alignment vertical="bottom"/>
    </xf>
    <xf borderId="19" fillId="2" fontId="20" numFmtId="0" xfId="0" applyAlignment="1" applyBorder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2.43"/>
    <col customWidth="1" min="3" max="3" width="10.57"/>
    <col customWidth="1" min="4" max="4" width="23.0"/>
    <col customWidth="1" min="5" max="5" width="9.14"/>
    <col customWidth="1" min="6" max="6" width="35.57"/>
    <col customWidth="1" min="7" max="7" width="35.43"/>
    <col customWidth="1" min="8" max="26" width="8.71"/>
  </cols>
  <sheetData>
    <row r="1" ht="12.75" customHeight="1">
      <c r="A1" s="1"/>
      <c r="B1" s="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7.5" customHeight="1">
      <c r="A2" s="7"/>
      <c r="B2" s="9"/>
      <c r="C2" s="13" t="s">
        <v>2</v>
      </c>
      <c r="D2" s="15"/>
      <c r="E2" s="15"/>
      <c r="F2" s="15"/>
      <c r="G2" s="1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"/>
      <c r="B3" s="20"/>
      <c r="C3" s="22"/>
      <c r="D3" s="1"/>
      <c r="E3" s="1"/>
      <c r="F3" s="2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26" t="s">
        <v>1</v>
      </c>
      <c r="C4" s="28" t="s">
        <v>4</v>
      </c>
      <c r="D4" s="15"/>
      <c r="E4" s="17"/>
      <c r="F4" s="26" t="s">
        <v>5</v>
      </c>
      <c r="G4" s="30" t="s">
        <v>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26" t="s">
        <v>7</v>
      </c>
      <c r="C5" s="28" t="s">
        <v>6</v>
      </c>
      <c r="D5" s="15"/>
      <c r="E5" s="17"/>
      <c r="F5" s="26" t="s">
        <v>8</v>
      </c>
      <c r="G5" s="3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35" t="s">
        <v>10</v>
      </c>
      <c r="C6" s="38" t="str">
        <f>C5&amp;"_"&amp;"BlackBoxTestCase"&amp;"_"&amp;"v3.0"</f>
        <v>AD05_BlackBoxTestCase_v3.0</v>
      </c>
      <c r="D6" s="40"/>
      <c r="E6" s="42"/>
      <c r="F6" s="26" t="s">
        <v>12</v>
      </c>
      <c r="G6" s="44">
        <v>43223.0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51"/>
      <c r="C7" s="54"/>
      <c r="D7" s="56"/>
      <c r="E7" s="58"/>
      <c r="F7" s="26" t="s">
        <v>16</v>
      </c>
      <c r="G7" s="60" t="s">
        <v>17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2"/>
      <c r="C8" s="22"/>
      <c r="D8" s="1"/>
      <c r="E8" s="1"/>
      <c r="F8" s="20"/>
      <c r="G8" s="2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70" t="s">
        <v>22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73"/>
      <c r="B11" s="75" t="s">
        <v>31</v>
      </c>
      <c r="C11" s="77" t="s">
        <v>16</v>
      </c>
      <c r="D11" s="79" t="s">
        <v>32</v>
      </c>
      <c r="E11" s="79" t="s">
        <v>35</v>
      </c>
      <c r="F11" s="79" t="s">
        <v>36</v>
      </c>
      <c r="G11" s="81" t="s">
        <v>37</v>
      </c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2.75" customHeight="1">
      <c r="A12" s="82"/>
      <c r="B12" s="83">
        <v>43198.0</v>
      </c>
      <c r="C12" s="84" t="s">
        <v>55</v>
      </c>
      <c r="D12" s="85"/>
      <c r="E12" s="85" t="s">
        <v>59</v>
      </c>
      <c r="F12" s="86" t="s">
        <v>60</v>
      </c>
      <c r="G12" s="88" t="s">
        <v>60</v>
      </c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12.75" customHeight="1">
      <c r="A13" s="82"/>
      <c r="B13" s="89">
        <v>43212.0</v>
      </c>
      <c r="C13" s="90" t="s">
        <v>77</v>
      </c>
      <c r="D13" s="85"/>
      <c r="E13" s="85" t="s">
        <v>59</v>
      </c>
      <c r="F13" s="85" t="s">
        <v>60</v>
      </c>
      <c r="G13" s="85" t="s">
        <v>60</v>
      </c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ht="12.75" customHeight="1">
      <c r="A14" s="82"/>
      <c r="B14" s="89">
        <v>43232.0</v>
      </c>
      <c r="C14" s="91" t="s">
        <v>17</v>
      </c>
      <c r="D14" s="85"/>
      <c r="E14" s="85" t="s">
        <v>59</v>
      </c>
      <c r="F14" s="85" t="s">
        <v>60</v>
      </c>
      <c r="G14" s="85" t="s">
        <v>60</v>
      </c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ht="12.75" customHeight="1">
      <c r="A15" s="1"/>
      <c r="B15" s="92"/>
      <c r="C15" s="93"/>
      <c r="D15" s="85"/>
      <c r="E15" s="85"/>
      <c r="F15" s="85"/>
      <c r="G15" s="8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94"/>
      <c r="C16" s="94"/>
      <c r="D16" s="97"/>
      <c r="E16" s="97"/>
      <c r="F16" s="97"/>
      <c r="G16" s="8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C15:C16"/>
    <mergeCell ref="B15:B16"/>
    <mergeCell ref="C2:G2"/>
    <mergeCell ref="C4:E4"/>
    <mergeCell ref="C5:E5"/>
    <mergeCell ref="B6:B7"/>
    <mergeCell ref="C6:E7"/>
  </mergeCells>
  <conditionalFormatting sqref="B12">
    <cfRule type="notContainsBlanks" dxfId="0" priority="1">
      <formula>LEN(TRIM(B12))&gt;0</formula>
    </cfRule>
  </conditionalFormatting>
  <printOptions/>
  <pageMargins bottom="0.35138888888888886" footer="0.0" header="0.0" left="0.4701388888888889" right="0.4701388888888889" top="0.5"/>
  <pageSetup paperSize="9" scale="98"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3.43"/>
    <col customWidth="1" min="3" max="3" width="43.29"/>
    <col customWidth="1" min="4" max="4" width="32.86"/>
    <col customWidth="1" min="5" max="5" width="94.0"/>
    <col customWidth="1" min="6" max="6" width="26.0"/>
    <col customWidth="1" min="7" max="26" width="8.71"/>
  </cols>
  <sheetData>
    <row r="1" ht="12.75" customHeight="1">
      <c r="A1" s="2"/>
      <c r="B1" s="3"/>
      <c r="C1" s="4"/>
      <c r="D1" s="6" t="s">
        <v>0</v>
      </c>
      <c r="E1" s="8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3"/>
      <c r="C2" s="4"/>
      <c r="D2" s="10"/>
      <c r="E2" s="10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11" t="s">
        <v>1</v>
      </c>
      <c r="C3" s="25"/>
      <c r="D3" s="27" t="str">
        <f>Cover!C4</f>
        <v>Hệ thống quản lí hồ sơ công dân điện tử</v>
      </c>
      <c r="E3" s="15"/>
      <c r="F3" s="1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11" t="s">
        <v>7</v>
      </c>
      <c r="C4" s="25"/>
      <c r="D4" s="27" t="str">
        <f>Cover!C5</f>
        <v>AD05</v>
      </c>
      <c r="E4" s="15"/>
      <c r="F4" s="1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84.75" customHeight="1">
      <c r="A5" s="24"/>
      <c r="B5" s="34" t="s">
        <v>9</v>
      </c>
      <c r="C5" s="17"/>
      <c r="D5" s="37" t="s">
        <v>11</v>
      </c>
      <c r="E5" s="15"/>
      <c r="F5" s="17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2.75" customHeight="1">
      <c r="A6" s="2"/>
      <c r="B6" s="4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6"/>
      <c r="B7" s="48"/>
      <c r="C7" s="52"/>
      <c r="D7" s="52"/>
      <c r="E7" s="52"/>
      <c r="F7" s="52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21.0" customHeight="1">
      <c r="A8" s="55"/>
      <c r="B8" s="57" t="s">
        <v>14</v>
      </c>
      <c r="C8" s="59" t="s">
        <v>15</v>
      </c>
      <c r="D8" s="59" t="s">
        <v>18</v>
      </c>
      <c r="E8" s="59" t="s">
        <v>19</v>
      </c>
      <c r="F8" s="59" t="s">
        <v>20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2.75" customHeight="1">
      <c r="A9" s="61"/>
      <c r="B9" s="63">
        <v>1.0</v>
      </c>
      <c r="C9" s="64" t="s">
        <v>21</v>
      </c>
      <c r="D9" s="66" t="s">
        <v>23</v>
      </c>
      <c r="E9" s="68" t="s">
        <v>25</v>
      </c>
      <c r="F9" s="80"/>
      <c r="G9" s="7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61"/>
      <c r="B10" s="63">
        <v>2.0</v>
      </c>
      <c r="C10" s="64" t="s">
        <v>33</v>
      </c>
      <c r="D10" s="66" t="s">
        <v>23</v>
      </c>
      <c r="E10" s="68" t="s">
        <v>41</v>
      </c>
      <c r="F10" s="80"/>
      <c r="G10" s="7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61"/>
      <c r="B11" s="63">
        <v>3.0</v>
      </c>
      <c r="C11" s="64" t="s">
        <v>34</v>
      </c>
      <c r="D11" s="66" t="s">
        <v>23</v>
      </c>
      <c r="E11" s="68" t="s">
        <v>43</v>
      </c>
      <c r="F11" s="80"/>
      <c r="G11" s="7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61"/>
      <c r="B12" s="63">
        <v>4.0</v>
      </c>
      <c r="C12" s="64" t="s">
        <v>38</v>
      </c>
      <c r="D12" s="66" t="s">
        <v>23</v>
      </c>
      <c r="E12" s="68" t="s">
        <v>45</v>
      </c>
      <c r="F12" s="80"/>
      <c r="G12" s="7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61"/>
      <c r="B13" s="63">
        <v>5.0</v>
      </c>
      <c r="C13" s="64" t="s">
        <v>39</v>
      </c>
      <c r="D13" s="66" t="s">
        <v>23</v>
      </c>
      <c r="E13" s="68" t="s">
        <v>47</v>
      </c>
      <c r="F13" s="80"/>
      <c r="G13" s="7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61"/>
      <c r="B14" s="63">
        <v>6.0</v>
      </c>
      <c r="C14" s="64" t="s">
        <v>40</v>
      </c>
      <c r="D14" s="66" t="s">
        <v>49</v>
      </c>
      <c r="E14" s="68" t="s">
        <v>50</v>
      </c>
      <c r="F14" s="80"/>
      <c r="G14" s="7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61"/>
      <c r="B15" s="63">
        <v>7.0</v>
      </c>
      <c r="C15" s="64" t="s">
        <v>42</v>
      </c>
      <c r="D15" s="66" t="s">
        <v>49</v>
      </c>
      <c r="E15" s="68" t="s">
        <v>53</v>
      </c>
      <c r="F15" s="80"/>
      <c r="G15" s="7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61"/>
      <c r="B16" s="63">
        <v>8.0</v>
      </c>
      <c r="C16" s="64" t="s">
        <v>44</v>
      </c>
      <c r="D16" s="66" t="s">
        <v>49</v>
      </c>
      <c r="E16" s="68" t="s">
        <v>56</v>
      </c>
      <c r="F16" s="80"/>
      <c r="G16" s="7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61"/>
      <c r="B17" s="63">
        <v>9.0</v>
      </c>
      <c r="C17" s="64" t="s">
        <v>46</v>
      </c>
      <c r="D17" s="66" t="s">
        <v>49</v>
      </c>
      <c r="E17" s="68" t="s">
        <v>58</v>
      </c>
      <c r="F17" s="80"/>
      <c r="G17" s="7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61"/>
      <c r="B18" s="63">
        <v>10.0</v>
      </c>
      <c r="C18" s="64" t="s">
        <v>62</v>
      </c>
      <c r="D18" s="66" t="s">
        <v>63</v>
      </c>
      <c r="E18" s="87" t="s">
        <v>64</v>
      </c>
      <c r="F18" s="80"/>
      <c r="G18" s="7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61"/>
      <c r="B19" s="63">
        <v>11.0</v>
      </c>
      <c r="C19" s="64" t="s">
        <v>48</v>
      </c>
      <c r="D19" s="66" t="s">
        <v>63</v>
      </c>
      <c r="E19" s="87" t="s">
        <v>68</v>
      </c>
      <c r="F19" s="80"/>
      <c r="G19" s="7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61"/>
      <c r="B20" s="63">
        <v>12.0</v>
      </c>
      <c r="C20" s="64" t="s">
        <v>51</v>
      </c>
      <c r="D20" s="66" t="s">
        <v>63</v>
      </c>
      <c r="E20" s="68" t="s">
        <v>70</v>
      </c>
      <c r="F20" s="80"/>
      <c r="G20" s="7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61"/>
      <c r="B21" s="63">
        <v>13.0</v>
      </c>
      <c r="C21" s="64" t="s">
        <v>52</v>
      </c>
      <c r="D21" s="66" t="s">
        <v>63</v>
      </c>
      <c r="E21" s="68" t="s">
        <v>72</v>
      </c>
      <c r="F21" s="80"/>
      <c r="G21" s="7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61"/>
      <c r="B22" s="63">
        <v>14.0</v>
      </c>
      <c r="C22" s="64" t="s">
        <v>54</v>
      </c>
      <c r="D22" s="66" t="s">
        <v>74</v>
      </c>
      <c r="E22" s="68" t="s">
        <v>75</v>
      </c>
      <c r="F22" s="80"/>
      <c r="G22" s="7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61"/>
      <c r="B23" s="63">
        <v>15.0</v>
      </c>
      <c r="C23" s="64" t="s">
        <v>57</v>
      </c>
      <c r="D23" s="66" t="s">
        <v>74</v>
      </c>
      <c r="E23" s="87" t="s">
        <v>78</v>
      </c>
      <c r="F23" s="80"/>
      <c r="G23" s="7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61"/>
      <c r="B24" s="63">
        <v>16.0</v>
      </c>
      <c r="C24" s="64" t="s">
        <v>61</v>
      </c>
      <c r="D24" s="66" t="s">
        <v>74</v>
      </c>
      <c r="E24" s="68" t="s">
        <v>80</v>
      </c>
      <c r="F24" s="80"/>
      <c r="G24" s="7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61"/>
      <c r="B25" s="63">
        <v>17.0</v>
      </c>
      <c r="C25" s="64" t="s">
        <v>65</v>
      </c>
      <c r="D25" s="66" t="s">
        <v>82</v>
      </c>
      <c r="E25" s="87" t="s">
        <v>83</v>
      </c>
      <c r="F25" s="80"/>
      <c r="G25" s="7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61"/>
      <c r="B26" s="63">
        <v>18.0</v>
      </c>
      <c r="C26" s="64" t="s">
        <v>66</v>
      </c>
      <c r="D26" s="66" t="s">
        <v>82</v>
      </c>
      <c r="E26" s="87" t="s">
        <v>85</v>
      </c>
      <c r="F26" s="80"/>
      <c r="G26" s="7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61"/>
      <c r="B27" s="63">
        <v>19.0</v>
      </c>
      <c r="C27" s="64" t="s">
        <v>67</v>
      </c>
      <c r="D27" s="66" t="s">
        <v>87</v>
      </c>
      <c r="E27" s="68" t="s">
        <v>88</v>
      </c>
      <c r="F27" s="80"/>
      <c r="G27" s="7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61"/>
      <c r="B28" s="63">
        <v>20.0</v>
      </c>
      <c r="C28" s="64" t="s">
        <v>69</v>
      </c>
      <c r="D28" s="66" t="s">
        <v>87</v>
      </c>
      <c r="E28" s="68" t="s">
        <v>89</v>
      </c>
      <c r="F28" s="80"/>
      <c r="G28" s="7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61"/>
      <c r="B29" s="63">
        <v>21.0</v>
      </c>
      <c r="C29" s="64" t="s">
        <v>71</v>
      </c>
      <c r="D29" s="66" t="s">
        <v>87</v>
      </c>
      <c r="E29" s="68" t="s">
        <v>90</v>
      </c>
      <c r="F29" s="80"/>
      <c r="G29" s="7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61"/>
      <c r="B30" s="63">
        <v>22.0</v>
      </c>
      <c r="C30" s="64" t="s">
        <v>73</v>
      </c>
      <c r="D30" s="66" t="s">
        <v>87</v>
      </c>
      <c r="E30" s="68" t="s">
        <v>91</v>
      </c>
      <c r="F30" s="80"/>
      <c r="G30" s="7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61"/>
      <c r="B31" s="63">
        <v>23.0</v>
      </c>
      <c r="C31" s="64" t="s">
        <v>76</v>
      </c>
      <c r="D31" s="66" t="s">
        <v>87</v>
      </c>
      <c r="E31" s="68" t="s">
        <v>93</v>
      </c>
      <c r="F31" s="80"/>
      <c r="G31" s="7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61"/>
      <c r="B32" s="63">
        <v>24.0</v>
      </c>
      <c r="C32" s="64" t="s">
        <v>79</v>
      </c>
      <c r="D32" s="66" t="s">
        <v>87</v>
      </c>
      <c r="E32" s="68" t="s">
        <v>94</v>
      </c>
      <c r="F32" s="80"/>
      <c r="G32" s="7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61"/>
      <c r="B33" s="63">
        <v>25.0</v>
      </c>
      <c r="C33" s="64" t="s">
        <v>81</v>
      </c>
      <c r="D33" s="66" t="s">
        <v>95</v>
      </c>
      <c r="E33" s="68" t="s">
        <v>96</v>
      </c>
      <c r="F33" s="80"/>
      <c r="G33" s="7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61"/>
      <c r="B34" s="63">
        <v>26.0</v>
      </c>
      <c r="C34" s="64" t="s">
        <v>84</v>
      </c>
      <c r="D34" s="66" t="s">
        <v>95</v>
      </c>
      <c r="E34" s="68" t="s">
        <v>98</v>
      </c>
      <c r="F34" s="80"/>
      <c r="G34" s="7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61"/>
      <c r="B35" s="63">
        <v>27.0</v>
      </c>
      <c r="C35" s="64" t="s">
        <v>86</v>
      </c>
      <c r="D35" s="66" t="s">
        <v>95</v>
      </c>
      <c r="E35" s="68" t="s">
        <v>99</v>
      </c>
      <c r="F35" s="80"/>
      <c r="G35" s="7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61"/>
      <c r="B36" s="98">
        <v>28.0</v>
      </c>
      <c r="C36" s="64" t="s">
        <v>92</v>
      </c>
      <c r="D36" s="66" t="s">
        <v>100</v>
      </c>
      <c r="E36" s="68" t="s">
        <v>101</v>
      </c>
      <c r="F36" s="80"/>
      <c r="G36" s="7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61"/>
      <c r="B37" s="98">
        <v>29.0</v>
      </c>
      <c r="C37" s="64" t="s">
        <v>102</v>
      </c>
      <c r="D37" s="66" t="s">
        <v>103</v>
      </c>
      <c r="E37" s="68" t="s">
        <v>104</v>
      </c>
      <c r="F37" s="80"/>
      <c r="G37" s="7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61"/>
      <c r="B38" s="98">
        <v>30.0</v>
      </c>
      <c r="C38" s="64" t="s">
        <v>105</v>
      </c>
      <c r="D38" s="66" t="s">
        <v>103</v>
      </c>
      <c r="E38" s="68" t="s">
        <v>106</v>
      </c>
      <c r="F38" s="80"/>
      <c r="G38" s="7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61"/>
      <c r="B39" s="98">
        <v>31.0</v>
      </c>
      <c r="C39" s="64" t="s">
        <v>69</v>
      </c>
      <c r="D39" s="66" t="s">
        <v>107</v>
      </c>
      <c r="E39" s="68" t="s">
        <v>108</v>
      </c>
      <c r="F39" s="80"/>
      <c r="G39" s="7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61"/>
      <c r="B40" s="98">
        <v>32.0</v>
      </c>
      <c r="C40" s="64" t="s">
        <v>73</v>
      </c>
      <c r="D40" s="66" t="s">
        <v>107</v>
      </c>
      <c r="E40" s="68" t="s">
        <v>108</v>
      </c>
      <c r="F40" s="80"/>
      <c r="G40" s="7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104"/>
      <c r="C41" s="106"/>
      <c r="D41" s="106"/>
      <c r="E41" s="106"/>
      <c r="F41" s="10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3"/>
      <c r="C42" s="4"/>
      <c r="D42" s="4"/>
      <c r="E42" s="4"/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3"/>
      <c r="C43" s="4"/>
      <c r="D43" s="4"/>
      <c r="E43" s="4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3"/>
      <c r="C44" s="4"/>
      <c r="D44" s="4"/>
      <c r="E44" s="4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3"/>
      <c r="C45" s="4"/>
      <c r="D45" s="4"/>
      <c r="E45" s="4"/>
      <c r="F45" s="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3"/>
      <c r="C46" s="4"/>
      <c r="D46" s="4"/>
      <c r="E46" s="4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3"/>
      <c r="C47" s="4"/>
      <c r="D47" s="4"/>
      <c r="E47" s="4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3"/>
      <c r="C48" s="4"/>
      <c r="D48" s="4"/>
      <c r="E48" s="4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3"/>
      <c r="C49" s="4"/>
      <c r="D49" s="4"/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3"/>
      <c r="C50" s="4"/>
      <c r="D50" s="4"/>
      <c r="E50" s="4"/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3"/>
      <c r="C51" s="4"/>
      <c r="D51" s="4"/>
      <c r="E51" s="4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3"/>
      <c r="C52" s="4"/>
      <c r="D52" s="4"/>
      <c r="E52" s="4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3"/>
      <c r="C53" s="4"/>
      <c r="D53" s="4"/>
      <c r="E53" s="4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3"/>
      <c r="C54" s="4"/>
      <c r="D54" s="4"/>
      <c r="E54" s="4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3"/>
      <c r="C55" s="4"/>
      <c r="D55" s="4"/>
      <c r="E55" s="4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3"/>
      <c r="C56" s="4"/>
      <c r="D56" s="4"/>
      <c r="E56" s="4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3"/>
      <c r="C57" s="4"/>
      <c r="D57" s="4"/>
      <c r="E57" s="4"/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3"/>
      <c r="C58" s="4"/>
      <c r="D58" s="4"/>
      <c r="E58" s="4"/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3"/>
      <c r="C59" s="4"/>
      <c r="D59" s="4"/>
      <c r="E59" s="4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3"/>
      <c r="C60" s="4"/>
      <c r="D60" s="4"/>
      <c r="E60" s="4"/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3"/>
      <c r="C61" s="4"/>
      <c r="D61" s="4"/>
      <c r="E61" s="4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3"/>
      <c r="C62" s="4"/>
      <c r="D62" s="4"/>
      <c r="E62" s="4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3"/>
      <c r="C63" s="4"/>
      <c r="D63" s="4"/>
      <c r="E63" s="4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3"/>
      <c r="C64" s="4"/>
      <c r="D64" s="4"/>
      <c r="E64" s="4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3"/>
      <c r="C65" s="4"/>
      <c r="D65" s="4"/>
      <c r="E65" s="4"/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3"/>
      <c r="C66" s="4"/>
      <c r="D66" s="4"/>
      <c r="E66" s="4"/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3"/>
      <c r="C67" s="4"/>
      <c r="D67" s="4"/>
      <c r="E67" s="4"/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3"/>
      <c r="C68" s="4"/>
      <c r="D68" s="4"/>
      <c r="E68" s="4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3"/>
      <c r="C69" s="4"/>
      <c r="D69" s="4"/>
      <c r="E69" s="4"/>
      <c r="F69" s="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3"/>
      <c r="C70" s="4"/>
      <c r="D70" s="4"/>
      <c r="E70" s="4"/>
      <c r="F70" s="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3"/>
      <c r="C71" s="4"/>
      <c r="D71" s="4"/>
      <c r="E71" s="4"/>
      <c r="F71" s="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3"/>
      <c r="C72" s="4"/>
      <c r="D72" s="4"/>
      <c r="E72" s="4"/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3"/>
      <c r="C73" s="4"/>
      <c r="D73" s="4"/>
      <c r="E73" s="4"/>
      <c r="F73" s="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3"/>
      <c r="C74" s="4"/>
      <c r="D74" s="4"/>
      <c r="E74" s="4"/>
      <c r="F74" s="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3"/>
      <c r="C75" s="4"/>
      <c r="D75" s="4"/>
      <c r="E75" s="4"/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3"/>
      <c r="C76" s="4"/>
      <c r="D76" s="4"/>
      <c r="E76" s="4"/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3"/>
      <c r="C77" s="4"/>
      <c r="D77" s="4"/>
      <c r="E77" s="4"/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3"/>
      <c r="C78" s="4"/>
      <c r="D78" s="4"/>
      <c r="E78" s="4"/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3"/>
      <c r="C79" s="4"/>
      <c r="D79" s="4"/>
      <c r="E79" s="4"/>
      <c r="F79" s="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3"/>
      <c r="C80" s="4"/>
      <c r="D80" s="4"/>
      <c r="E80" s="4"/>
      <c r="F80" s="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3"/>
      <c r="C81" s="4"/>
      <c r="D81" s="4"/>
      <c r="E81" s="4"/>
      <c r="F81" s="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3"/>
      <c r="C82" s="4"/>
      <c r="D82" s="4"/>
      <c r="E82" s="4"/>
      <c r="F82" s="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3"/>
      <c r="C83" s="4"/>
      <c r="D83" s="4"/>
      <c r="E83" s="4"/>
      <c r="F83" s="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3"/>
      <c r="C84" s="4"/>
      <c r="D84" s="4"/>
      <c r="E84" s="4"/>
      <c r="F84" s="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3"/>
      <c r="C85" s="4"/>
      <c r="D85" s="4"/>
      <c r="E85" s="4"/>
      <c r="F85" s="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3"/>
      <c r="C86" s="4"/>
      <c r="D86" s="4"/>
      <c r="E86" s="4"/>
      <c r="F86" s="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3"/>
      <c r="C87" s="4"/>
      <c r="D87" s="4"/>
      <c r="E87" s="4"/>
      <c r="F87" s="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3"/>
      <c r="C88" s="4"/>
      <c r="D88" s="4"/>
      <c r="E88" s="4"/>
      <c r="F88" s="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3"/>
      <c r="C89" s="4"/>
      <c r="D89" s="4"/>
      <c r="E89" s="4"/>
      <c r="F89" s="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3"/>
      <c r="C90" s="4"/>
      <c r="D90" s="4"/>
      <c r="E90" s="4"/>
      <c r="F90" s="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3"/>
      <c r="C91" s="4"/>
      <c r="D91" s="4"/>
      <c r="E91" s="4"/>
      <c r="F91" s="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3"/>
      <c r="C92" s="4"/>
      <c r="D92" s="4"/>
      <c r="E92" s="4"/>
      <c r="F92" s="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3"/>
      <c r="C93" s="4"/>
      <c r="D93" s="4"/>
      <c r="E93" s="4"/>
      <c r="F93" s="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3"/>
      <c r="C94" s="4"/>
      <c r="D94" s="4"/>
      <c r="E94" s="4"/>
      <c r="F94" s="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3"/>
      <c r="C95" s="4"/>
      <c r="D95" s="4"/>
      <c r="E95" s="4"/>
      <c r="F95" s="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3"/>
      <c r="C96" s="4"/>
      <c r="D96" s="4"/>
      <c r="E96" s="4"/>
      <c r="F96" s="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3"/>
      <c r="C97" s="4"/>
      <c r="D97" s="4"/>
      <c r="E97" s="4"/>
      <c r="F97" s="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3"/>
      <c r="C98" s="4"/>
      <c r="D98" s="4"/>
      <c r="E98" s="4"/>
      <c r="F98" s="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3"/>
      <c r="C99" s="4"/>
      <c r="D99" s="4"/>
      <c r="E99" s="4"/>
      <c r="F99" s="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3"/>
      <c r="C100" s="4"/>
      <c r="D100" s="4"/>
      <c r="E100" s="4"/>
      <c r="F100" s="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3"/>
      <c r="C101" s="4"/>
      <c r="D101" s="4"/>
      <c r="E101" s="4"/>
      <c r="F101" s="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3"/>
      <c r="C102" s="4"/>
      <c r="D102" s="4"/>
      <c r="E102" s="4"/>
      <c r="F102" s="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3"/>
      <c r="C103" s="4"/>
      <c r="D103" s="4"/>
      <c r="E103" s="4"/>
      <c r="F103" s="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3"/>
      <c r="C104" s="4"/>
      <c r="D104" s="4"/>
      <c r="E104" s="4"/>
      <c r="F104" s="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3"/>
      <c r="C105" s="4"/>
      <c r="D105" s="4"/>
      <c r="E105" s="4"/>
      <c r="F105" s="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3"/>
      <c r="C106" s="4"/>
      <c r="D106" s="4"/>
      <c r="E106" s="4"/>
      <c r="F106" s="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3"/>
      <c r="C107" s="4"/>
      <c r="D107" s="4"/>
      <c r="E107" s="4"/>
      <c r="F107" s="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3"/>
      <c r="C108" s="4"/>
      <c r="D108" s="4"/>
      <c r="E108" s="4"/>
      <c r="F108" s="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3"/>
      <c r="C109" s="4"/>
      <c r="D109" s="4"/>
      <c r="E109" s="4"/>
      <c r="F109" s="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3"/>
      <c r="C110" s="4"/>
      <c r="D110" s="4"/>
      <c r="E110" s="4"/>
      <c r="F110" s="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3"/>
      <c r="C111" s="4"/>
      <c r="D111" s="4"/>
      <c r="E111" s="4"/>
      <c r="F111" s="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3"/>
      <c r="C112" s="4"/>
      <c r="D112" s="4"/>
      <c r="E112" s="4"/>
      <c r="F112" s="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3"/>
      <c r="C113" s="4"/>
      <c r="D113" s="4"/>
      <c r="E113" s="4"/>
      <c r="F113" s="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3"/>
      <c r="C114" s="4"/>
      <c r="D114" s="4"/>
      <c r="E114" s="4"/>
      <c r="F114" s="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3"/>
      <c r="C115" s="4"/>
      <c r="D115" s="4"/>
      <c r="E115" s="4"/>
      <c r="F115" s="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3"/>
      <c r="C116" s="4"/>
      <c r="D116" s="4"/>
      <c r="E116" s="4"/>
      <c r="F116" s="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3"/>
      <c r="C117" s="4"/>
      <c r="D117" s="4"/>
      <c r="E117" s="4"/>
      <c r="F117" s="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3"/>
      <c r="C118" s="4"/>
      <c r="D118" s="4"/>
      <c r="E118" s="4"/>
      <c r="F118" s="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3"/>
      <c r="C119" s="4"/>
      <c r="D119" s="4"/>
      <c r="E119" s="4"/>
      <c r="F119" s="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3"/>
      <c r="C120" s="4"/>
      <c r="D120" s="4"/>
      <c r="E120" s="4"/>
      <c r="F120" s="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3"/>
      <c r="C121" s="4"/>
      <c r="D121" s="4"/>
      <c r="E121" s="4"/>
      <c r="F121" s="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3"/>
      <c r="C122" s="4"/>
      <c r="D122" s="4"/>
      <c r="E122" s="4"/>
      <c r="F122" s="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3"/>
      <c r="C123" s="4"/>
      <c r="D123" s="4"/>
      <c r="E123" s="4"/>
      <c r="F123" s="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3"/>
      <c r="C124" s="4"/>
      <c r="D124" s="4"/>
      <c r="E124" s="4"/>
      <c r="F124" s="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3"/>
      <c r="C125" s="4"/>
      <c r="D125" s="4"/>
      <c r="E125" s="4"/>
      <c r="F125" s="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3"/>
      <c r="C126" s="4"/>
      <c r="D126" s="4"/>
      <c r="E126" s="4"/>
      <c r="F126" s="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3"/>
      <c r="C127" s="4"/>
      <c r="D127" s="4"/>
      <c r="E127" s="4"/>
      <c r="F127" s="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3"/>
      <c r="C128" s="4"/>
      <c r="D128" s="4"/>
      <c r="E128" s="4"/>
      <c r="F128" s="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3"/>
      <c r="C129" s="4"/>
      <c r="D129" s="4"/>
      <c r="E129" s="4"/>
      <c r="F129" s="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3"/>
      <c r="C130" s="4"/>
      <c r="D130" s="4"/>
      <c r="E130" s="4"/>
      <c r="F130" s="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3"/>
      <c r="C131" s="4"/>
      <c r="D131" s="4"/>
      <c r="E131" s="4"/>
      <c r="F131" s="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3"/>
      <c r="C132" s="4"/>
      <c r="D132" s="4"/>
      <c r="E132" s="4"/>
      <c r="F132" s="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3"/>
      <c r="C133" s="4"/>
      <c r="D133" s="4"/>
      <c r="E133" s="4"/>
      <c r="F133" s="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3"/>
      <c r="C134" s="4"/>
      <c r="D134" s="4"/>
      <c r="E134" s="4"/>
      <c r="F134" s="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3"/>
      <c r="C135" s="4"/>
      <c r="D135" s="4"/>
      <c r="E135" s="4"/>
      <c r="F135" s="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3"/>
      <c r="C136" s="4"/>
      <c r="D136" s="4"/>
      <c r="E136" s="4"/>
      <c r="F136" s="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3"/>
      <c r="C137" s="4"/>
      <c r="D137" s="4"/>
      <c r="E137" s="4"/>
      <c r="F137" s="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3"/>
      <c r="C138" s="4"/>
      <c r="D138" s="4"/>
      <c r="E138" s="4"/>
      <c r="F138" s="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3"/>
      <c r="C139" s="4"/>
      <c r="D139" s="4"/>
      <c r="E139" s="4"/>
      <c r="F139" s="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3"/>
      <c r="C140" s="4"/>
      <c r="D140" s="4"/>
      <c r="E140" s="4"/>
      <c r="F140" s="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3"/>
      <c r="C141" s="4"/>
      <c r="D141" s="4"/>
      <c r="E141" s="4"/>
      <c r="F141" s="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3"/>
      <c r="C142" s="4"/>
      <c r="D142" s="4"/>
      <c r="E142" s="4"/>
      <c r="F142" s="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3"/>
      <c r="C143" s="4"/>
      <c r="D143" s="4"/>
      <c r="E143" s="4"/>
      <c r="F143" s="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3"/>
      <c r="C144" s="4"/>
      <c r="D144" s="4"/>
      <c r="E144" s="4"/>
      <c r="F144" s="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3"/>
      <c r="C145" s="4"/>
      <c r="D145" s="4"/>
      <c r="E145" s="4"/>
      <c r="F145" s="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3"/>
      <c r="C146" s="4"/>
      <c r="D146" s="4"/>
      <c r="E146" s="4"/>
      <c r="F146" s="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3"/>
      <c r="C147" s="4"/>
      <c r="D147" s="4"/>
      <c r="E147" s="4"/>
      <c r="F147" s="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3"/>
      <c r="C148" s="4"/>
      <c r="D148" s="4"/>
      <c r="E148" s="4"/>
      <c r="F148" s="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3"/>
      <c r="C149" s="4"/>
      <c r="D149" s="4"/>
      <c r="E149" s="4"/>
      <c r="F149" s="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3"/>
      <c r="C150" s="4"/>
      <c r="D150" s="4"/>
      <c r="E150" s="4"/>
      <c r="F150" s="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3"/>
      <c r="C151" s="4"/>
      <c r="D151" s="4"/>
      <c r="E151" s="4"/>
      <c r="F151" s="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3"/>
      <c r="C152" s="4"/>
      <c r="D152" s="4"/>
      <c r="E152" s="4"/>
      <c r="F152" s="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3"/>
      <c r="C153" s="4"/>
      <c r="D153" s="4"/>
      <c r="E153" s="4"/>
      <c r="F153" s="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3"/>
      <c r="C154" s="4"/>
      <c r="D154" s="4"/>
      <c r="E154" s="4"/>
      <c r="F154" s="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3"/>
      <c r="C155" s="4"/>
      <c r="D155" s="4"/>
      <c r="E155" s="4"/>
      <c r="F155" s="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3"/>
      <c r="C156" s="4"/>
      <c r="D156" s="4"/>
      <c r="E156" s="4"/>
      <c r="F156" s="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3"/>
      <c r="C157" s="4"/>
      <c r="D157" s="4"/>
      <c r="E157" s="4"/>
      <c r="F157" s="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3"/>
      <c r="C158" s="4"/>
      <c r="D158" s="4"/>
      <c r="E158" s="4"/>
      <c r="F158" s="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3"/>
      <c r="C159" s="4"/>
      <c r="D159" s="4"/>
      <c r="E159" s="4"/>
      <c r="F159" s="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3"/>
      <c r="C160" s="4"/>
      <c r="D160" s="4"/>
      <c r="E160" s="4"/>
      <c r="F160" s="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3"/>
      <c r="C161" s="4"/>
      <c r="D161" s="4"/>
      <c r="E161" s="4"/>
      <c r="F161" s="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3"/>
      <c r="C162" s="4"/>
      <c r="D162" s="4"/>
      <c r="E162" s="4"/>
      <c r="F162" s="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3"/>
      <c r="C163" s="4"/>
      <c r="D163" s="4"/>
      <c r="E163" s="4"/>
      <c r="F163" s="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3"/>
      <c r="C164" s="4"/>
      <c r="D164" s="4"/>
      <c r="E164" s="4"/>
      <c r="F164" s="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3"/>
      <c r="C165" s="4"/>
      <c r="D165" s="4"/>
      <c r="E165" s="4"/>
      <c r="F165" s="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3"/>
      <c r="C166" s="4"/>
      <c r="D166" s="4"/>
      <c r="E166" s="4"/>
      <c r="F166" s="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3"/>
      <c r="C167" s="4"/>
      <c r="D167" s="4"/>
      <c r="E167" s="4"/>
      <c r="F167" s="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3"/>
      <c r="C168" s="4"/>
      <c r="D168" s="4"/>
      <c r="E168" s="4"/>
      <c r="F168" s="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3"/>
      <c r="C169" s="4"/>
      <c r="D169" s="4"/>
      <c r="E169" s="4"/>
      <c r="F169" s="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3"/>
      <c r="C170" s="4"/>
      <c r="D170" s="4"/>
      <c r="E170" s="4"/>
      <c r="F170" s="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3"/>
      <c r="C171" s="4"/>
      <c r="D171" s="4"/>
      <c r="E171" s="4"/>
      <c r="F171" s="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3"/>
      <c r="C172" s="4"/>
      <c r="D172" s="4"/>
      <c r="E172" s="4"/>
      <c r="F172" s="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3"/>
      <c r="C173" s="4"/>
      <c r="D173" s="4"/>
      <c r="E173" s="4"/>
      <c r="F173" s="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3"/>
      <c r="C174" s="4"/>
      <c r="D174" s="4"/>
      <c r="E174" s="4"/>
      <c r="F174" s="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3"/>
      <c r="C175" s="4"/>
      <c r="D175" s="4"/>
      <c r="E175" s="4"/>
      <c r="F175" s="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3"/>
      <c r="C176" s="4"/>
      <c r="D176" s="4"/>
      <c r="E176" s="4"/>
      <c r="F176" s="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3"/>
      <c r="C177" s="4"/>
      <c r="D177" s="4"/>
      <c r="E177" s="4"/>
      <c r="F177" s="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3"/>
      <c r="C178" s="4"/>
      <c r="D178" s="4"/>
      <c r="E178" s="4"/>
      <c r="F178" s="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3"/>
      <c r="C179" s="4"/>
      <c r="D179" s="4"/>
      <c r="E179" s="4"/>
      <c r="F179" s="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3"/>
      <c r="C180" s="4"/>
      <c r="D180" s="4"/>
      <c r="E180" s="4"/>
      <c r="F180" s="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3"/>
      <c r="C181" s="4"/>
      <c r="D181" s="4"/>
      <c r="E181" s="4"/>
      <c r="F181" s="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3"/>
      <c r="C182" s="4"/>
      <c r="D182" s="4"/>
      <c r="E182" s="4"/>
      <c r="F182" s="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3"/>
      <c r="C183" s="4"/>
      <c r="D183" s="4"/>
      <c r="E183" s="4"/>
      <c r="F183" s="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3"/>
      <c r="C184" s="4"/>
      <c r="D184" s="4"/>
      <c r="E184" s="4"/>
      <c r="F184" s="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3"/>
      <c r="C185" s="4"/>
      <c r="D185" s="4"/>
      <c r="E185" s="4"/>
      <c r="F185" s="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3"/>
      <c r="C186" s="4"/>
      <c r="D186" s="4"/>
      <c r="E186" s="4"/>
      <c r="F186" s="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3"/>
      <c r="C187" s="4"/>
      <c r="D187" s="4"/>
      <c r="E187" s="4"/>
      <c r="F187" s="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3"/>
      <c r="C188" s="4"/>
      <c r="D188" s="4"/>
      <c r="E188" s="4"/>
      <c r="F188" s="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3"/>
      <c r="C189" s="4"/>
      <c r="D189" s="4"/>
      <c r="E189" s="4"/>
      <c r="F189" s="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3"/>
      <c r="C190" s="4"/>
      <c r="D190" s="4"/>
      <c r="E190" s="4"/>
      <c r="F190" s="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3"/>
      <c r="C191" s="4"/>
      <c r="D191" s="4"/>
      <c r="E191" s="4"/>
      <c r="F191" s="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3"/>
      <c r="C192" s="4"/>
      <c r="D192" s="4"/>
      <c r="E192" s="4"/>
      <c r="F192" s="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3"/>
      <c r="C193" s="4"/>
      <c r="D193" s="4"/>
      <c r="E193" s="4"/>
      <c r="F193" s="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3"/>
      <c r="C194" s="4"/>
      <c r="D194" s="4"/>
      <c r="E194" s="4"/>
      <c r="F194" s="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3"/>
      <c r="C195" s="4"/>
      <c r="D195" s="4"/>
      <c r="E195" s="4"/>
      <c r="F195" s="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3"/>
      <c r="C196" s="4"/>
      <c r="D196" s="4"/>
      <c r="E196" s="4"/>
      <c r="F196" s="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3"/>
      <c r="C197" s="4"/>
      <c r="D197" s="4"/>
      <c r="E197" s="4"/>
      <c r="F197" s="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3"/>
      <c r="C198" s="4"/>
      <c r="D198" s="4"/>
      <c r="E198" s="4"/>
      <c r="F198" s="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3"/>
      <c r="C199" s="4"/>
      <c r="D199" s="4"/>
      <c r="E199" s="4"/>
      <c r="F199" s="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3"/>
      <c r="C200" s="4"/>
      <c r="D200" s="4"/>
      <c r="E200" s="4"/>
      <c r="F200" s="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3"/>
      <c r="C201" s="4"/>
      <c r="D201" s="4"/>
      <c r="E201" s="4"/>
      <c r="F201" s="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3"/>
      <c r="C202" s="4"/>
      <c r="D202" s="4"/>
      <c r="E202" s="4"/>
      <c r="F202" s="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3"/>
      <c r="C203" s="4"/>
      <c r="D203" s="4"/>
      <c r="E203" s="4"/>
      <c r="F203" s="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3"/>
      <c r="C204" s="4"/>
      <c r="D204" s="4"/>
      <c r="E204" s="4"/>
      <c r="F204" s="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3"/>
      <c r="C205" s="4"/>
      <c r="D205" s="4"/>
      <c r="E205" s="4"/>
      <c r="F205" s="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3"/>
      <c r="C206" s="4"/>
      <c r="D206" s="4"/>
      <c r="E206" s="4"/>
      <c r="F206" s="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3"/>
      <c r="C207" s="4"/>
      <c r="D207" s="4"/>
      <c r="E207" s="4"/>
      <c r="F207" s="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3"/>
      <c r="C208" s="4"/>
      <c r="D208" s="4"/>
      <c r="E208" s="4"/>
      <c r="F208" s="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3"/>
      <c r="C209" s="4"/>
      <c r="D209" s="4"/>
      <c r="E209" s="4"/>
      <c r="F209" s="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3"/>
      <c r="C210" s="4"/>
      <c r="D210" s="4"/>
      <c r="E210" s="4"/>
      <c r="F210" s="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3"/>
      <c r="C211" s="4"/>
      <c r="D211" s="4"/>
      <c r="E211" s="4"/>
      <c r="F211" s="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3"/>
      <c r="C212" s="4"/>
      <c r="D212" s="4"/>
      <c r="E212" s="4"/>
      <c r="F212" s="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3"/>
      <c r="C213" s="4"/>
      <c r="D213" s="4"/>
      <c r="E213" s="4"/>
      <c r="F213" s="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3"/>
      <c r="C214" s="4"/>
      <c r="D214" s="4"/>
      <c r="E214" s="4"/>
      <c r="F214" s="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3"/>
      <c r="C215" s="4"/>
      <c r="D215" s="4"/>
      <c r="E215" s="4"/>
      <c r="F215" s="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3"/>
      <c r="C216" s="4"/>
      <c r="D216" s="4"/>
      <c r="E216" s="4"/>
      <c r="F216" s="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3"/>
      <c r="C217" s="4"/>
      <c r="D217" s="4"/>
      <c r="E217" s="4"/>
      <c r="F217" s="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3"/>
      <c r="C218" s="4"/>
      <c r="D218" s="4"/>
      <c r="E218" s="4"/>
      <c r="F218" s="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3"/>
      <c r="C219" s="4"/>
      <c r="D219" s="4"/>
      <c r="E219" s="4"/>
      <c r="F219" s="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3"/>
      <c r="C220" s="4"/>
      <c r="D220" s="4"/>
      <c r="E220" s="4"/>
      <c r="F220" s="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3"/>
      <c r="C221" s="4"/>
      <c r="D221" s="4"/>
      <c r="E221" s="4"/>
      <c r="F221" s="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3"/>
      <c r="C222" s="4"/>
      <c r="D222" s="4"/>
      <c r="E222" s="4"/>
      <c r="F222" s="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3"/>
      <c r="C223" s="4"/>
      <c r="D223" s="4"/>
      <c r="E223" s="4"/>
      <c r="F223" s="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3"/>
      <c r="C224" s="4"/>
      <c r="D224" s="4"/>
      <c r="E224" s="4"/>
      <c r="F224" s="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3"/>
      <c r="C225" s="4"/>
      <c r="D225" s="4"/>
      <c r="E225" s="4"/>
      <c r="F225" s="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3"/>
      <c r="C226" s="4"/>
      <c r="D226" s="4"/>
      <c r="E226" s="4"/>
      <c r="F226" s="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3"/>
      <c r="C227" s="4"/>
      <c r="D227" s="4"/>
      <c r="E227" s="4"/>
      <c r="F227" s="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3"/>
      <c r="C228" s="4"/>
      <c r="D228" s="4"/>
      <c r="E228" s="4"/>
      <c r="F228" s="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3"/>
      <c r="C229" s="4"/>
      <c r="D229" s="4"/>
      <c r="E229" s="4"/>
      <c r="F229" s="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3"/>
      <c r="C230" s="4"/>
      <c r="D230" s="4"/>
      <c r="E230" s="4"/>
      <c r="F230" s="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3"/>
      <c r="C231" s="4"/>
      <c r="D231" s="4"/>
      <c r="E231" s="4"/>
      <c r="F231" s="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3"/>
      <c r="C232" s="4"/>
      <c r="D232" s="4"/>
      <c r="E232" s="4"/>
      <c r="F232" s="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3"/>
      <c r="C233" s="4"/>
      <c r="D233" s="4"/>
      <c r="E233" s="4"/>
      <c r="F233" s="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3"/>
      <c r="C234" s="4"/>
      <c r="D234" s="4"/>
      <c r="E234" s="4"/>
      <c r="F234" s="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3"/>
      <c r="C235" s="4"/>
      <c r="D235" s="4"/>
      <c r="E235" s="4"/>
      <c r="F235" s="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3"/>
      <c r="C236" s="4"/>
      <c r="D236" s="4"/>
      <c r="E236" s="4"/>
      <c r="F236" s="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3"/>
      <c r="C237" s="4"/>
      <c r="D237" s="4"/>
      <c r="E237" s="4"/>
      <c r="F237" s="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3"/>
      <c r="C238" s="4"/>
      <c r="D238" s="4"/>
      <c r="E238" s="4"/>
      <c r="F238" s="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3"/>
      <c r="C239" s="4"/>
      <c r="D239" s="4"/>
      <c r="E239" s="4"/>
      <c r="F239" s="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3"/>
      <c r="C240" s="4"/>
      <c r="D240" s="4"/>
      <c r="E240" s="4"/>
      <c r="F240" s="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3"/>
      <c r="C241" s="4"/>
      <c r="D241" s="4"/>
      <c r="E241" s="4"/>
      <c r="F241" s="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3"/>
      <c r="C242" s="4"/>
      <c r="D242" s="4"/>
      <c r="E242" s="4"/>
      <c r="F242" s="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3"/>
      <c r="C243" s="4"/>
      <c r="D243" s="4"/>
      <c r="E243" s="4"/>
      <c r="F243" s="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3"/>
      <c r="C244" s="4"/>
      <c r="D244" s="4"/>
      <c r="E244" s="4"/>
      <c r="F244" s="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3"/>
      <c r="C245" s="4"/>
      <c r="D245" s="4"/>
      <c r="E245" s="4"/>
      <c r="F245" s="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3"/>
      <c r="C246" s="4"/>
      <c r="D246" s="4"/>
      <c r="E246" s="4"/>
      <c r="F246" s="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3"/>
      <c r="C247" s="4"/>
      <c r="D247" s="4"/>
      <c r="E247" s="4"/>
      <c r="F247" s="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3"/>
      <c r="C248" s="4"/>
      <c r="D248" s="4"/>
      <c r="E248" s="4"/>
      <c r="F248" s="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3"/>
      <c r="C249" s="4"/>
      <c r="D249" s="4"/>
      <c r="E249" s="4"/>
      <c r="F249" s="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3"/>
      <c r="C250" s="4"/>
      <c r="D250" s="4"/>
      <c r="E250" s="4"/>
      <c r="F250" s="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3"/>
      <c r="C251" s="4"/>
      <c r="D251" s="4"/>
      <c r="E251" s="4"/>
      <c r="F251" s="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3"/>
      <c r="C252" s="4"/>
      <c r="D252" s="4"/>
      <c r="E252" s="4"/>
      <c r="F252" s="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3"/>
      <c r="C253" s="4"/>
      <c r="D253" s="4"/>
      <c r="E253" s="4"/>
      <c r="F253" s="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3"/>
      <c r="C254" s="4"/>
      <c r="D254" s="4"/>
      <c r="E254" s="4"/>
      <c r="F254" s="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3"/>
      <c r="C255" s="4"/>
      <c r="D255" s="4"/>
      <c r="E255" s="4"/>
      <c r="F255" s="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3"/>
      <c r="C256" s="4"/>
      <c r="D256" s="4"/>
      <c r="E256" s="4"/>
      <c r="F256" s="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3"/>
      <c r="C257" s="4"/>
      <c r="D257" s="4"/>
      <c r="E257" s="4"/>
      <c r="F257" s="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3"/>
      <c r="C258" s="4"/>
      <c r="D258" s="4"/>
      <c r="E258" s="4"/>
      <c r="F258" s="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3"/>
      <c r="C259" s="4"/>
      <c r="D259" s="4"/>
      <c r="E259" s="4"/>
      <c r="F259" s="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3"/>
      <c r="C260" s="4"/>
      <c r="D260" s="4"/>
      <c r="E260" s="4"/>
      <c r="F260" s="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3"/>
      <c r="C261" s="4"/>
      <c r="D261" s="4"/>
      <c r="E261" s="4"/>
      <c r="F261" s="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3"/>
      <c r="C262" s="4"/>
      <c r="D262" s="4"/>
      <c r="E262" s="4"/>
      <c r="F262" s="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3"/>
      <c r="C263" s="4"/>
      <c r="D263" s="4"/>
      <c r="E263" s="4"/>
      <c r="F263" s="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3"/>
      <c r="C264" s="4"/>
      <c r="D264" s="4"/>
      <c r="E264" s="4"/>
      <c r="F264" s="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3"/>
      <c r="C265" s="4"/>
      <c r="D265" s="4"/>
      <c r="E265" s="4"/>
      <c r="F265" s="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3"/>
      <c r="C266" s="4"/>
      <c r="D266" s="4"/>
      <c r="E266" s="4"/>
      <c r="F266" s="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3"/>
      <c r="C267" s="4"/>
      <c r="D267" s="4"/>
      <c r="E267" s="4"/>
      <c r="F267" s="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3"/>
      <c r="C268" s="4"/>
      <c r="D268" s="4"/>
      <c r="E268" s="4"/>
      <c r="F268" s="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3"/>
      <c r="C269" s="4"/>
      <c r="D269" s="4"/>
      <c r="E269" s="4"/>
      <c r="F269" s="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3"/>
      <c r="C270" s="4"/>
      <c r="D270" s="4"/>
      <c r="E270" s="4"/>
      <c r="F270" s="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3"/>
      <c r="C271" s="4"/>
      <c r="D271" s="4"/>
      <c r="E271" s="4"/>
      <c r="F271" s="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3"/>
      <c r="C272" s="4"/>
      <c r="D272" s="4"/>
      <c r="E272" s="4"/>
      <c r="F272" s="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3"/>
      <c r="C273" s="4"/>
      <c r="D273" s="4"/>
      <c r="E273" s="4"/>
      <c r="F273" s="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3"/>
      <c r="C274" s="4"/>
      <c r="D274" s="4"/>
      <c r="E274" s="4"/>
      <c r="F274" s="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3"/>
      <c r="C275" s="4"/>
      <c r="D275" s="4"/>
      <c r="E275" s="4"/>
      <c r="F275" s="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3"/>
      <c r="C276" s="4"/>
      <c r="D276" s="4"/>
      <c r="E276" s="4"/>
      <c r="F276" s="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3"/>
      <c r="C277" s="4"/>
      <c r="D277" s="4"/>
      <c r="E277" s="4"/>
      <c r="F277" s="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3"/>
      <c r="C278" s="4"/>
      <c r="D278" s="4"/>
      <c r="E278" s="4"/>
      <c r="F278" s="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3"/>
      <c r="C279" s="4"/>
      <c r="D279" s="4"/>
      <c r="E279" s="4"/>
      <c r="F279" s="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3"/>
      <c r="C280" s="4"/>
      <c r="D280" s="4"/>
      <c r="E280" s="4"/>
      <c r="F280" s="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3"/>
      <c r="C281" s="4"/>
      <c r="D281" s="4"/>
      <c r="E281" s="4"/>
      <c r="F281" s="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3"/>
      <c r="C282" s="4"/>
      <c r="D282" s="4"/>
      <c r="E282" s="4"/>
      <c r="F282" s="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3"/>
      <c r="C283" s="4"/>
      <c r="D283" s="4"/>
      <c r="E283" s="4"/>
      <c r="F283" s="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3"/>
      <c r="C284" s="4"/>
      <c r="D284" s="4"/>
      <c r="E284" s="4"/>
      <c r="F284" s="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3"/>
      <c r="C285" s="4"/>
      <c r="D285" s="4"/>
      <c r="E285" s="4"/>
      <c r="F285" s="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3"/>
      <c r="C286" s="4"/>
      <c r="D286" s="4"/>
      <c r="E286" s="4"/>
      <c r="F286" s="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3"/>
      <c r="C287" s="4"/>
      <c r="D287" s="4"/>
      <c r="E287" s="4"/>
      <c r="F287" s="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3"/>
      <c r="C288" s="4"/>
      <c r="D288" s="4"/>
      <c r="E288" s="4"/>
      <c r="F288" s="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3"/>
      <c r="C289" s="4"/>
      <c r="D289" s="4"/>
      <c r="E289" s="4"/>
      <c r="F289" s="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3"/>
      <c r="C290" s="4"/>
      <c r="D290" s="4"/>
      <c r="E290" s="4"/>
      <c r="F290" s="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3"/>
      <c r="C291" s="4"/>
      <c r="D291" s="4"/>
      <c r="E291" s="4"/>
      <c r="F291" s="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3"/>
      <c r="C292" s="4"/>
      <c r="D292" s="4"/>
      <c r="E292" s="4"/>
      <c r="F292" s="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3"/>
      <c r="C293" s="4"/>
      <c r="D293" s="4"/>
      <c r="E293" s="4"/>
      <c r="F293" s="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3"/>
      <c r="C294" s="4"/>
      <c r="D294" s="4"/>
      <c r="E294" s="4"/>
      <c r="F294" s="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3"/>
      <c r="C295" s="4"/>
      <c r="D295" s="4"/>
      <c r="E295" s="4"/>
      <c r="F295" s="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3"/>
      <c r="C296" s="4"/>
      <c r="D296" s="4"/>
      <c r="E296" s="4"/>
      <c r="F296" s="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3"/>
      <c r="C297" s="4"/>
      <c r="D297" s="4"/>
      <c r="E297" s="4"/>
      <c r="F297" s="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3"/>
      <c r="C298" s="4"/>
      <c r="D298" s="4"/>
      <c r="E298" s="4"/>
      <c r="F298" s="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3"/>
      <c r="C299" s="4"/>
      <c r="D299" s="4"/>
      <c r="E299" s="4"/>
      <c r="F299" s="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3"/>
      <c r="C300" s="4"/>
      <c r="D300" s="4"/>
      <c r="E300" s="4"/>
      <c r="F300" s="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3"/>
      <c r="C301" s="4"/>
      <c r="D301" s="4"/>
      <c r="E301" s="4"/>
      <c r="F301" s="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3"/>
      <c r="C302" s="4"/>
      <c r="D302" s="4"/>
      <c r="E302" s="4"/>
      <c r="F302" s="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3"/>
      <c r="C303" s="4"/>
      <c r="D303" s="4"/>
      <c r="E303" s="4"/>
      <c r="F303" s="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3"/>
      <c r="C304" s="4"/>
      <c r="D304" s="4"/>
      <c r="E304" s="4"/>
      <c r="F304" s="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3"/>
      <c r="C305" s="4"/>
      <c r="D305" s="4"/>
      <c r="E305" s="4"/>
      <c r="F305" s="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3"/>
      <c r="C306" s="4"/>
      <c r="D306" s="4"/>
      <c r="E306" s="4"/>
      <c r="F306" s="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3"/>
      <c r="C307" s="4"/>
      <c r="D307" s="4"/>
      <c r="E307" s="4"/>
      <c r="F307" s="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3"/>
      <c r="C308" s="4"/>
      <c r="D308" s="4"/>
      <c r="E308" s="4"/>
      <c r="F308" s="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3"/>
      <c r="C309" s="4"/>
      <c r="D309" s="4"/>
      <c r="E309" s="4"/>
      <c r="F309" s="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3"/>
      <c r="C310" s="4"/>
      <c r="D310" s="4"/>
      <c r="E310" s="4"/>
      <c r="F310" s="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3"/>
      <c r="C311" s="4"/>
      <c r="D311" s="4"/>
      <c r="E311" s="4"/>
      <c r="F311" s="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3"/>
      <c r="C312" s="4"/>
      <c r="D312" s="4"/>
      <c r="E312" s="4"/>
      <c r="F312" s="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3"/>
      <c r="C313" s="4"/>
      <c r="D313" s="4"/>
      <c r="E313" s="4"/>
      <c r="F313" s="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3"/>
      <c r="C314" s="4"/>
      <c r="D314" s="4"/>
      <c r="E314" s="4"/>
      <c r="F314" s="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3"/>
      <c r="C315" s="4"/>
      <c r="D315" s="4"/>
      <c r="E315" s="4"/>
      <c r="F315" s="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3"/>
      <c r="C316" s="4"/>
      <c r="D316" s="4"/>
      <c r="E316" s="4"/>
      <c r="F316" s="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3"/>
      <c r="C317" s="4"/>
      <c r="D317" s="4"/>
      <c r="E317" s="4"/>
      <c r="F317" s="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3"/>
      <c r="C318" s="4"/>
      <c r="D318" s="4"/>
      <c r="E318" s="4"/>
      <c r="F318" s="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3"/>
      <c r="C319" s="4"/>
      <c r="D319" s="4"/>
      <c r="E319" s="4"/>
      <c r="F319" s="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3"/>
      <c r="C320" s="4"/>
      <c r="D320" s="4"/>
      <c r="E320" s="4"/>
      <c r="F320" s="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3"/>
      <c r="C321" s="4"/>
      <c r="D321" s="4"/>
      <c r="E321" s="4"/>
      <c r="F321" s="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3"/>
      <c r="C322" s="4"/>
      <c r="D322" s="4"/>
      <c r="E322" s="4"/>
      <c r="F322" s="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3"/>
      <c r="C323" s="4"/>
      <c r="D323" s="4"/>
      <c r="E323" s="4"/>
      <c r="F323" s="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3"/>
      <c r="C324" s="4"/>
      <c r="D324" s="4"/>
      <c r="E324" s="4"/>
      <c r="F324" s="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3"/>
      <c r="C325" s="4"/>
      <c r="D325" s="4"/>
      <c r="E325" s="4"/>
      <c r="F325" s="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3"/>
      <c r="C326" s="4"/>
      <c r="D326" s="4"/>
      <c r="E326" s="4"/>
      <c r="F326" s="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3"/>
      <c r="C327" s="4"/>
      <c r="D327" s="4"/>
      <c r="E327" s="4"/>
      <c r="F327" s="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3"/>
      <c r="C328" s="4"/>
      <c r="D328" s="4"/>
      <c r="E328" s="4"/>
      <c r="F328" s="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3"/>
      <c r="C329" s="4"/>
      <c r="D329" s="4"/>
      <c r="E329" s="4"/>
      <c r="F329" s="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3"/>
      <c r="C330" s="4"/>
      <c r="D330" s="4"/>
      <c r="E330" s="4"/>
      <c r="F330" s="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3"/>
      <c r="C331" s="4"/>
      <c r="D331" s="4"/>
      <c r="E331" s="4"/>
      <c r="F331" s="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3"/>
      <c r="C332" s="4"/>
      <c r="D332" s="4"/>
      <c r="E332" s="4"/>
      <c r="F332" s="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3"/>
      <c r="C333" s="4"/>
      <c r="D333" s="4"/>
      <c r="E333" s="4"/>
      <c r="F333" s="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3"/>
      <c r="C334" s="4"/>
      <c r="D334" s="4"/>
      <c r="E334" s="4"/>
      <c r="F334" s="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3"/>
      <c r="C335" s="4"/>
      <c r="D335" s="4"/>
      <c r="E335" s="4"/>
      <c r="F335" s="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3"/>
      <c r="C336" s="4"/>
      <c r="D336" s="4"/>
      <c r="E336" s="4"/>
      <c r="F336" s="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3"/>
      <c r="C337" s="4"/>
      <c r="D337" s="4"/>
      <c r="E337" s="4"/>
      <c r="F337" s="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3"/>
      <c r="C338" s="4"/>
      <c r="D338" s="4"/>
      <c r="E338" s="4"/>
      <c r="F338" s="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3"/>
      <c r="C339" s="4"/>
      <c r="D339" s="4"/>
      <c r="E339" s="4"/>
      <c r="F339" s="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3"/>
      <c r="C340" s="4"/>
      <c r="D340" s="4"/>
      <c r="E340" s="4"/>
      <c r="F340" s="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3"/>
      <c r="C341" s="4"/>
      <c r="D341" s="4"/>
      <c r="E341" s="4"/>
      <c r="F341" s="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3"/>
      <c r="C342" s="4"/>
      <c r="D342" s="4"/>
      <c r="E342" s="4"/>
      <c r="F342" s="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3"/>
      <c r="C343" s="4"/>
      <c r="D343" s="4"/>
      <c r="E343" s="4"/>
      <c r="F343" s="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3"/>
      <c r="C344" s="4"/>
      <c r="D344" s="4"/>
      <c r="E344" s="4"/>
      <c r="F344" s="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3"/>
      <c r="C345" s="4"/>
      <c r="D345" s="4"/>
      <c r="E345" s="4"/>
      <c r="F345" s="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3"/>
      <c r="C346" s="4"/>
      <c r="D346" s="4"/>
      <c r="E346" s="4"/>
      <c r="F346" s="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3"/>
      <c r="C347" s="4"/>
      <c r="D347" s="4"/>
      <c r="E347" s="4"/>
      <c r="F347" s="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3"/>
      <c r="C348" s="4"/>
      <c r="D348" s="4"/>
      <c r="E348" s="4"/>
      <c r="F348" s="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3"/>
      <c r="C349" s="4"/>
      <c r="D349" s="4"/>
      <c r="E349" s="4"/>
      <c r="F349" s="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3"/>
      <c r="C350" s="4"/>
      <c r="D350" s="4"/>
      <c r="E350" s="4"/>
      <c r="F350" s="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3"/>
      <c r="C351" s="4"/>
      <c r="D351" s="4"/>
      <c r="E351" s="4"/>
      <c r="F351" s="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3"/>
      <c r="C352" s="4"/>
      <c r="D352" s="4"/>
      <c r="E352" s="4"/>
      <c r="F352" s="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3"/>
      <c r="C353" s="4"/>
      <c r="D353" s="4"/>
      <c r="E353" s="4"/>
      <c r="F353" s="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3"/>
      <c r="C354" s="4"/>
      <c r="D354" s="4"/>
      <c r="E354" s="4"/>
      <c r="F354" s="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3"/>
      <c r="C355" s="4"/>
      <c r="D355" s="4"/>
      <c r="E355" s="4"/>
      <c r="F355" s="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3"/>
      <c r="C356" s="4"/>
      <c r="D356" s="4"/>
      <c r="E356" s="4"/>
      <c r="F356" s="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3"/>
      <c r="C357" s="4"/>
      <c r="D357" s="4"/>
      <c r="E357" s="4"/>
      <c r="F357" s="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3"/>
      <c r="C358" s="4"/>
      <c r="D358" s="4"/>
      <c r="E358" s="4"/>
      <c r="F358" s="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3"/>
      <c r="C359" s="4"/>
      <c r="D359" s="4"/>
      <c r="E359" s="4"/>
      <c r="F359" s="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3"/>
      <c r="C360" s="4"/>
      <c r="D360" s="4"/>
      <c r="E360" s="4"/>
      <c r="F360" s="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3"/>
      <c r="C361" s="4"/>
      <c r="D361" s="4"/>
      <c r="E361" s="4"/>
      <c r="F361" s="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3"/>
      <c r="C362" s="4"/>
      <c r="D362" s="4"/>
      <c r="E362" s="4"/>
      <c r="F362" s="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3"/>
      <c r="C363" s="4"/>
      <c r="D363" s="4"/>
      <c r="E363" s="4"/>
      <c r="F363" s="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3"/>
      <c r="C364" s="4"/>
      <c r="D364" s="4"/>
      <c r="E364" s="4"/>
      <c r="F364" s="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3"/>
      <c r="C365" s="4"/>
      <c r="D365" s="4"/>
      <c r="E365" s="4"/>
      <c r="F365" s="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3"/>
      <c r="C366" s="4"/>
      <c r="D366" s="4"/>
      <c r="E366" s="4"/>
      <c r="F366" s="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3"/>
      <c r="C367" s="4"/>
      <c r="D367" s="4"/>
      <c r="E367" s="4"/>
      <c r="F367" s="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3"/>
      <c r="C368" s="4"/>
      <c r="D368" s="4"/>
      <c r="E368" s="4"/>
      <c r="F368" s="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3"/>
      <c r="C369" s="4"/>
      <c r="D369" s="4"/>
      <c r="E369" s="4"/>
      <c r="F369" s="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3"/>
      <c r="C370" s="4"/>
      <c r="D370" s="4"/>
      <c r="E370" s="4"/>
      <c r="F370" s="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3"/>
      <c r="C371" s="4"/>
      <c r="D371" s="4"/>
      <c r="E371" s="4"/>
      <c r="F371" s="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3"/>
      <c r="C372" s="4"/>
      <c r="D372" s="4"/>
      <c r="E372" s="4"/>
      <c r="F372" s="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3"/>
      <c r="C373" s="4"/>
      <c r="D373" s="4"/>
      <c r="E373" s="4"/>
      <c r="F373" s="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3"/>
      <c r="C374" s="4"/>
      <c r="D374" s="4"/>
      <c r="E374" s="4"/>
      <c r="F374" s="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3"/>
      <c r="C375" s="4"/>
      <c r="D375" s="4"/>
      <c r="E375" s="4"/>
      <c r="F375" s="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3"/>
      <c r="C376" s="4"/>
      <c r="D376" s="4"/>
      <c r="E376" s="4"/>
      <c r="F376" s="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3"/>
      <c r="C377" s="4"/>
      <c r="D377" s="4"/>
      <c r="E377" s="4"/>
      <c r="F377" s="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3"/>
      <c r="C378" s="4"/>
      <c r="D378" s="4"/>
      <c r="E378" s="4"/>
      <c r="F378" s="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3"/>
      <c r="C379" s="4"/>
      <c r="D379" s="4"/>
      <c r="E379" s="4"/>
      <c r="F379" s="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3"/>
      <c r="C380" s="4"/>
      <c r="D380" s="4"/>
      <c r="E380" s="4"/>
      <c r="F380" s="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3"/>
      <c r="C381" s="4"/>
      <c r="D381" s="4"/>
      <c r="E381" s="4"/>
      <c r="F381" s="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3"/>
      <c r="C382" s="4"/>
      <c r="D382" s="4"/>
      <c r="E382" s="4"/>
      <c r="F382" s="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3"/>
      <c r="C383" s="4"/>
      <c r="D383" s="4"/>
      <c r="E383" s="4"/>
      <c r="F383" s="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3"/>
      <c r="C384" s="4"/>
      <c r="D384" s="4"/>
      <c r="E384" s="4"/>
      <c r="F384" s="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3"/>
      <c r="C385" s="4"/>
      <c r="D385" s="4"/>
      <c r="E385" s="4"/>
      <c r="F385" s="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3"/>
      <c r="C386" s="4"/>
      <c r="D386" s="4"/>
      <c r="E386" s="4"/>
      <c r="F386" s="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3"/>
      <c r="C387" s="4"/>
      <c r="D387" s="4"/>
      <c r="E387" s="4"/>
      <c r="F387" s="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3"/>
      <c r="C388" s="4"/>
      <c r="D388" s="4"/>
      <c r="E388" s="4"/>
      <c r="F388" s="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3"/>
      <c r="C389" s="4"/>
      <c r="D389" s="4"/>
      <c r="E389" s="4"/>
      <c r="F389" s="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3"/>
      <c r="C390" s="4"/>
      <c r="D390" s="4"/>
      <c r="E390" s="4"/>
      <c r="F390" s="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3"/>
      <c r="C391" s="4"/>
      <c r="D391" s="4"/>
      <c r="E391" s="4"/>
      <c r="F391" s="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3"/>
      <c r="C392" s="4"/>
      <c r="D392" s="4"/>
      <c r="E392" s="4"/>
      <c r="F392" s="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3"/>
      <c r="C393" s="4"/>
      <c r="D393" s="4"/>
      <c r="E393" s="4"/>
      <c r="F393" s="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3"/>
      <c r="C394" s="4"/>
      <c r="D394" s="4"/>
      <c r="E394" s="4"/>
      <c r="F394" s="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3"/>
      <c r="C395" s="4"/>
      <c r="D395" s="4"/>
      <c r="E395" s="4"/>
      <c r="F395" s="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3"/>
      <c r="C396" s="4"/>
      <c r="D396" s="4"/>
      <c r="E396" s="4"/>
      <c r="F396" s="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3"/>
      <c r="C397" s="4"/>
      <c r="D397" s="4"/>
      <c r="E397" s="4"/>
      <c r="F397" s="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3"/>
      <c r="C398" s="4"/>
      <c r="D398" s="4"/>
      <c r="E398" s="4"/>
      <c r="F398" s="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3"/>
      <c r="C399" s="4"/>
      <c r="D399" s="4"/>
      <c r="E399" s="4"/>
      <c r="F399" s="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3"/>
      <c r="C400" s="4"/>
      <c r="D400" s="4"/>
      <c r="E400" s="4"/>
      <c r="F400" s="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3"/>
      <c r="C401" s="4"/>
      <c r="D401" s="4"/>
      <c r="E401" s="4"/>
      <c r="F401" s="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3"/>
      <c r="C402" s="4"/>
      <c r="D402" s="4"/>
      <c r="E402" s="4"/>
      <c r="F402" s="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3"/>
      <c r="C403" s="4"/>
      <c r="D403" s="4"/>
      <c r="E403" s="4"/>
      <c r="F403" s="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3"/>
      <c r="C404" s="4"/>
      <c r="D404" s="4"/>
      <c r="E404" s="4"/>
      <c r="F404" s="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3"/>
      <c r="C405" s="4"/>
      <c r="D405" s="4"/>
      <c r="E405" s="4"/>
      <c r="F405" s="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3"/>
      <c r="C406" s="4"/>
      <c r="D406" s="4"/>
      <c r="E406" s="4"/>
      <c r="F406" s="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3"/>
      <c r="C407" s="4"/>
      <c r="D407" s="4"/>
      <c r="E407" s="4"/>
      <c r="F407" s="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3"/>
      <c r="C408" s="4"/>
      <c r="D408" s="4"/>
      <c r="E408" s="4"/>
      <c r="F408" s="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3"/>
      <c r="C409" s="4"/>
      <c r="D409" s="4"/>
      <c r="E409" s="4"/>
      <c r="F409" s="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3"/>
      <c r="C410" s="4"/>
      <c r="D410" s="4"/>
      <c r="E410" s="4"/>
      <c r="F410" s="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3"/>
      <c r="C411" s="4"/>
      <c r="D411" s="4"/>
      <c r="E411" s="4"/>
      <c r="F411" s="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3"/>
      <c r="C412" s="4"/>
      <c r="D412" s="4"/>
      <c r="E412" s="4"/>
      <c r="F412" s="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3"/>
      <c r="C413" s="4"/>
      <c r="D413" s="4"/>
      <c r="E413" s="4"/>
      <c r="F413" s="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3"/>
      <c r="C414" s="4"/>
      <c r="D414" s="4"/>
      <c r="E414" s="4"/>
      <c r="F414" s="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3"/>
      <c r="C415" s="4"/>
      <c r="D415" s="4"/>
      <c r="E415" s="4"/>
      <c r="F415" s="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3"/>
      <c r="C416" s="4"/>
      <c r="D416" s="4"/>
      <c r="E416" s="4"/>
      <c r="F416" s="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3"/>
      <c r="C417" s="4"/>
      <c r="D417" s="4"/>
      <c r="E417" s="4"/>
      <c r="F417" s="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3"/>
      <c r="C418" s="4"/>
      <c r="D418" s="4"/>
      <c r="E418" s="4"/>
      <c r="F418" s="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3"/>
      <c r="C419" s="4"/>
      <c r="D419" s="4"/>
      <c r="E419" s="4"/>
      <c r="F419" s="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3"/>
      <c r="C420" s="4"/>
      <c r="D420" s="4"/>
      <c r="E420" s="4"/>
      <c r="F420" s="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3"/>
      <c r="C421" s="4"/>
      <c r="D421" s="4"/>
      <c r="E421" s="4"/>
      <c r="F421" s="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3"/>
      <c r="C422" s="4"/>
      <c r="D422" s="4"/>
      <c r="E422" s="4"/>
      <c r="F422" s="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3"/>
      <c r="C423" s="4"/>
      <c r="D423" s="4"/>
      <c r="E423" s="4"/>
      <c r="F423" s="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3"/>
      <c r="C424" s="4"/>
      <c r="D424" s="4"/>
      <c r="E424" s="4"/>
      <c r="F424" s="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3"/>
      <c r="C425" s="4"/>
      <c r="D425" s="4"/>
      <c r="E425" s="4"/>
      <c r="F425" s="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3"/>
      <c r="C426" s="4"/>
      <c r="D426" s="4"/>
      <c r="E426" s="4"/>
      <c r="F426" s="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3"/>
      <c r="C427" s="4"/>
      <c r="D427" s="4"/>
      <c r="E427" s="4"/>
      <c r="F427" s="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3"/>
      <c r="C428" s="4"/>
      <c r="D428" s="4"/>
      <c r="E428" s="4"/>
      <c r="F428" s="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3"/>
      <c r="C429" s="4"/>
      <c r="D429" s="4"/>
      <c r="E429" s="4"/>
      <c r="F429" s="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3"/>
      <c r="C430" s="4"/>
      <c r="D430" s="4"/>
      <c r="E430" s="4"/>
      <c r="F430" s="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3"/>
      <c r="C431" s="4"/>
      <c r="D431" s="4"/>
      <c r="E431" s="4"/>
      <c r="F431" s="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3"/>
      <c r="C432" s="4"/>
      <c r="D432" s="4"/>
      <c r="E432" s="4"/>
      <c r="F432" s="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3"/>
      <c r="C433" s="4"/>
      <c r="D433" s="4"/>
      <c r="E433" s="4"/>
      <c r="F433" s="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3"/>
      <c r="C434" s="4"/>
      <c r="D434" s="4"/>
      <c r="E434" s="4"/>
      <c r="F434" s="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3"/>
      <c r="C435" s="4"/>
      <c r="D435" s="4"/>
      <c r="E435" s="4"/>
      <c r="F435" s="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3"/>
      <c r="C436" s="4"/>
      <c r="D436" s="4"/>
      <c r="E436" s="4"/>
      <c r="F436" s="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3"/>
      <c r="C437" s="4"/>
      <c r="D437" s="4"/>
      <c r="E437" s="4"/>
      <c r="F437" s="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3"/>
      <c r="C438" s="4"/>
      <c r="D438" s="4"/>
      <c r="E438" s="4"/>
      <c r="F438" s="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3"/>
      <c r="C439" s="4"/>
      <c r="D439" s="4"/>
      <c r="E439" s="4"/>
      <c r="F439" s="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3"/>
      <c r="C440" s="4"/>
      <c r="D440" s="4"/>
      <c r="E440" s="4"/>
      <c r="F440" s="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3"/>
      <c r="C441" s="4"/>
      <c r="D441" s="4"/>
      <c r="E441" s="4"/>
      <c r="F441" s="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3"/>
      <c r="C442" s="4"/>
      <c r="D442" s="4"/>
      <c r="E442" s="4"/>
      <c r="F442" s="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3"/>
      <c r="C443" s="4"/>
      <c r="D443" s="4"/>
      <c r="E443" s="4"/>
      <c r="F443" s="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3"/>
      <c r="C444" s="4"/>
      <c r="D444" s="4"/>
      <c r="E444" s="4"/>
      <c r="F444" s="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3"/>
      <c r="C445" s="4"/>
      <c r="D445" s="4"/>
      <c r="E445" s="4"/>
      <c r="F445" s="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3"/>
      <c r="C446" s="4"/>
      <c r="D446" s="4"/>
      <c r="E446" s="4"/>
      <c r="F446" s="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3"/>
      <c r="C447" s="4"/>
      <c r="D447" s="4"/>
      <c r="E447" s="4"/>
      <c r="F447" s="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3"/>
      <c r="C448" s="4"/>
      <c r="D448" s="4"/>
      <c r="E448" s="4"/>
      <c r="F448" s="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3"/>
      <c r="C449" s="4"/>
      <c r="D449" s="4"/>
      <c r="E449" s="4"/>
      <c r="F449" s="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3"/>
      <c r="C450" s="4"/>
      <c r="D450" s="4"/>
      <c r="E450" s="4"/>
      <c r="F450" s="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3"/>
      <c r="C451" s="4"/>
      <c r="D451" s="4"/>
      <c r="E451" s="4"/>
      <c r="F451" s="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3"/>
      <c r="C452" s="4"/>
      <c r="D452" s="4"/>
      <c r="E452" s="4"/>
      <c r="F452" s="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3"/>
      <c r="C453" s="4"/>
      <c r="D453" s="4"/>
      <c r="E453" s="4"/>
      <c r="F453" s="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3"/>
      <c r="C454" s="4"/>
      <c r="D454" s="4"/>
      <c r="E454" s="4"/>
      <c r="F454" s="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3"/>
      <c r="C455" s="4"/>
      <c r="D455" s="4"/>
      <c r="E455" s="4"/>
      <c r="F455" s="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3"/>
      <c r="C456" s="4"/>
      <c r="D456" s="4"/>
      <c r="E456" s="4"/>
      <c r="F456" s="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3"/>
      <c r="C457" s="4"/>
      <c r="D457" s="4"/>
      <c r="E457" s="4"/>
      <c r="F457" s="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3"/>
      <c r="C458" s="4"/>
      <c r="D458" s="4"/>
      <c r="E458" s="4"/>
      <c r="F458" s="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3"/>
      <c r="C459" s="4"/>
      <c r="D459" s="4"/>
      <c r="E459" s="4"/>
      <c r="F459" s="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3"/>
      <c r="C460" s="4"/>
      <c r="D460" s="4"/>
      <c r="E460" s="4"/>
      <c r="F460" s="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3"/>
      <c r="C461" s="4"/>
      <c r="D461" s="4"/>
      <c r="E461" s="4"/>
      <c r="F461" s="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3"/>
      <c r="C462" s="4"/>
      <c r="D462" s="4"/>
      <c r="E462" s="4"/>
      <c r="F462" s="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3"/>
      <c r="C463" s="4"/>
      <c r="D463" s="4"/>
      <c r="E463" s="4"/>
      <c r="F463" s="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3"/>
      <c r="C464" s="4"/>
      <c r="D464" s="4"/>
      <c r="E464" s="4"/>
      <c r="F464" s="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3"/>
      <c r="C465" s="4"/>
      <c r="D465" s="4"/>
      <c r="E465" s="4"/>
      <c r="F465" s="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3"/>
      <c r="C466" s="4"/>
      <c r="D466" s="4"/>
      <c r="E466" s="4"/>
      <c r="F466" s="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3"/>
      <c r="C467" s="4"/>
      <c r="D467" s="4"/>
      <c r="E467" s="4"/>
      <c r="F467" s="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3"/>
      <c r="C468" s="4"/>
      <c r="D468" s="4"/>
      <c r="E468" s="4"/>
      <c r="F468" s="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3"/>
      <c r="C469" s="4"/>
      <c r="D469" s="4"/>
      <c r="E469" s="4"/>
      <c r="F469" s="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3"/>
      <c r="C470" s="4"/>
      <c r="D470" s="4"/>
      <c r="E470" s="4"/>
      <c r="F470" s="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3"/>
      <c r="C471" s="4"/>
      <c r="D471" s="4"/>
      <c r="E471" s="4"/>
      <c r="F471" s="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3"/>
      <c r="C472" s="4"/>
      <c r="D472" s="4"/>
      <c r="E472" s="4"/>
      <c r="F472" s="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3"/>
      <c r="C473" s="4"/>
      <c r="D473" s="4"/>
      <c r="E473" s="4"/>
      <c r="F473" s="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3"/>
      <c r="C474" s="4"/>
      <c r="D474" s="4"/>
      <c r="E474" s="4"/>
      <c r="F474" s="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3"/>
      <c r="C475" s="4"/>
      <c r="D475" s="4"/>
      <c r="E475" s="4"/>
      <c r="F475" s="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3"/>
      <c r="C476" s="4"/>
      <c r="D476" s="4"/>
      <c r="E476" s="4"/>
      <c r="F476" s="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3"/>
      <c r="C477" s="4"/>
      <c r="D477" s="4"/>
      <c r="E477" s="4"/>
      <c r="F477" s="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3"/>
      <c r="C478" s="4"/>
      <c r="D478" s="4"/>
      <c r="E478" s="4"/>
      <c r="F478" s="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3"/>
      <c r="C479" s="4"/>
      <c r="D479" s="4"/>
      <c r="E479" s="4"/>
      <c r="F479" s="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3"/>
      <c r="C480" s="4"/>
      <c r="D480" s="4"/>
      <c r="E480" s="4"/>
      <c r="F480" s="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3"/>
      <c r="C481" s="4"/>
      <c r="D481" s="4"/>
      <c r="E481" s="4"/>
      <c r="F481" s="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3"/>
      <c r="C482" s="4"/>
      <c r="D482" s="4"/>
      <c r="E482" s="4"/>
      <c r="F482" s="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3"/>
      <c r="C483" s="4"/>
      <c r="D483" s="4"/>
      <c r="E483" s="4"/>
      <c r="F483" s="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3"/>
      <c r="C484" s="4"/>
      <c r="D484" s="4"/>
      <c r="E484" s="4"/>
      <c r="F484" s="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3"/>
      <c r="C485" s="4"/>
      <c r="D485" s="4"/>
      <c r="E485" s="4"/>
      <c r="F485" s="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3"/>
      <c r="C486" s="4"/>
      <c r="D486" s="4"/>
      <c r="E486" s="4"/>
      <c r="F486" s="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3"/>
      <c r="C487" s="4"/>
      <c r="D487" s="4"/>
      <c r="E487" s="4"/>
      <c r="F487" s="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3"/>
      <c r="C488" s="4"/>
      <c r="D488" s="4"/>
      <c r="E488" s="4"/>
      <c r="F488" s="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3"/>
      <c r="C489" s="4"/>
      <c r="D489" s="4"/>
      <c r="E489" s="4"/>
      <c r="F489" s="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3"/>
      <c r="C490" s="4"/>
      <c r="D490" s="4"/>
      <c r="E490" s="4"/>
      <c r="F490" s="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3"/>
      <c r="C491" s="4"/>
      <c r="D491" s="4"/>
      <c r="E491" s="4"/>
      <c r="F491" s="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3"/>
      <c r="C492" s="4"/>
      <c r="D492" s="4"/>
      <c r="E492" s="4"/>
      <c r="F492" s="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3"/>
      <c r="C493" s="4"/>
      <c r="D493" s="4"/>
      <c r="E493" s="4"/>
      <c r="F493" s="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3"/>
      <c r="C494" s="4"/>
      <c r="D494" s="4"/>
      <c r="E494" s="4"/>
      <c r="F494" s="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3"/>
      <c r="C495" s="4"/>
      <c r="D495" s="4"/>
      <c r="E495" s="4"/>
      <c r="F495" s="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3"/>
      <c r="C496" s="4"/>
      <c r="D496" s="4"/>
      <c r="E496" s="4"/>
      <c r="F496" s="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3"/>
      <c r="C497" s="4"/>
      <c r="D497" s="4"/>
      <c r="E497" s="4"/>
      <c r="F497" s="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3"/>
      <c r="C498" s="4"/>
      <c r="D498" s="4"/>
      <c r="E498" s="4"/>
      <c r="F498" s="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3"/>
      <c r="C499" s="4"/>
      <c r="D499" s="4"/>
      <c r="E499" s="4"/>
      <c r="F499" s="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3"/>
      <c r="C500" s="4"/>
      <c r="D500" s="4"/>
      <c r="E500" s="4"/>
      <c r="F500" s="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3"/>
      <c r="C501" s="4"/>
      <c r="D501" s="4"/>
      <c r="E501" s="4"/>
      <c r="F501" s="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3"/>
      <c r="C502" s="4"/>
      <c r="D502" s="4"/>
      <c r="E502" s="4"/>
      <c r="F502" s="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3"/>
      <c r="C503" s="4"/>
      <c r="D503" s="4"/>
      <c r="E503" s="4"/>
      <c r="F503" s="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3"/>
      <c r="C504" s="4"/>
      <c r="D504" s="4"/>
      <c r="E504" s="4"/>
      <c r="F504" s="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3"/>
      <c r="C505" s="4"/>
      <c r="D505" s="4"/>
      <c r="E505" s="4"/>
      <c r="F505" s="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3"/>
      <c r="C506" s="4"/>
      <c r="D506" s="4"/>
      <c r="E506" s="4"/>
      <c r="F506" s="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3"/>
      <c r="C507" s="4"/>
      <c r="D507" s="4"/>
      <c r="E507" s="4"/>
      <c r="F507" s="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3"/>
      <c r="C508" s="4"/>
      <c r="D508" s="4"/>
      <c r="E508" s="4"/>
      <c r="F508" s="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3"/>
      <c r="C509" s="4"/>
      <c r="D509" s="4"/>
      <c r="E509" s="4"/>
      <c r="F509" s="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3"/>
      <c r="C510" s="4"/>
      <c r="D510" s="4"/>
      <c r="E510" s="4"/>
      <c r="F510" s="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3"/>
      <c r="C511" s="4"/>
      <c r="D511" s="4"/>
      <c r="E511" s="4"/>
      <c r="F511" s="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3"/>
      <c r="C512" s="4"/>
      <c r="D512" s="4"/>
      <c r="E512" s="4"/>
      <c r="F512" s="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3"/>
      <c r="C513" s="4"/>
      <c r="D513" s="4"/>
      <c r="E513" s="4"/>
      <c r="F513" s="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3"/>
      <c r="C514" s="4"/>
      <c r="D514" s="4"/>
      <c r="E514" s="4"/>
      <c r="F514" s="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3"/>
      <c r="C515" s="4"/>
      <c r="D515" s="4"/>
      <c r="E515" s="4"/>
      <c r="F515" s="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3"/>
      <c r="C516" s="4"/>
      <c r="D516" s="4"/>
      <c r="E516" s="4"/>
      <c r="F516" s="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3"/>
      <c r="C517" s="4"/>
      <c r="D517" s="4"/>
      <c r="E517" s="4"/>
      <c r="F517" s="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3"/>
      <c r="C518" s="4"/>
      <c r="D518" s="4"/>
      <c r="E518" s="4"/>
      <c r="F518" s="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3"/>
      <c r="C519" s="4"/>
      <c r="D519" s="4"/>
      <c r="E519" s="4"/>
      <c r="F519" s="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3"/>
      <c r="C520" s="4"/>
      <c r="D520" s="4"/>
      <c r="E520" s="4"/>
      <c r="F520" s="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3"/>
      <c r="C521" s="4"/>
      <c r="D521" s="4"/>
      <c r="E521" s="4"/>
      <c r="F521" s="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3"/>
      <c r="C522" s="4"/>
      <c r="D522" s="4"/>
      <c r="E522" s="4"/>
      <c r="F522" s="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3"/>
      <c r="C523" s="4"/>
      <c r="D523" s="4"/>
      <c r="E523" s="4"/>
      <c r="F523" s="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3"/>
      <c r="C524" s="4"/>
      <c r="D524" s="4"/>
      <c r="E524" s="4"/>
      <c r="F524" s="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3"/>
      <c r="C525" s="4"/>
      <c r="D525" s="4"/>
      <c r="E525" s="4"/>
      <c r="F525" s="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3"/>
      <c r="C526" s="4"/>
      <c r="D526" s="4"/>
      <c r="E526" s="4"/>
      <c r="F526" s="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3"/>
      <c r="C527" s="4"/>
      <c r="D527" s="4"/>
      <c r="E527" s="4"/>
      <c r="F527" s="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3"/>
      <c r="C528" s="4"/>
      <c r="D528" s="4"/>
      <c r="E528" s="4"/>
      <c r="F528" s="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3"/>
      <c r="C529" s="4"/>
      <c r="D529" s="4"/>
      <c r="E529" s="4"/>
      <c r="F529" s="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3"/>
      <c r="C530" s="4"/>
      <c r="D530" s="4"/>
      <c r="E530" s="4"/>
      <c r="F530" s="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3"/>
      <c r="C531" s="4"/>
      <c r="D531" s="4"/>
      <c r="E531" s="4"/>
      <c r="F531" s="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3"/>
      <c r="C532" s="4"/>
      <c r="D532" s="4"/>
      <c r="E532" s="4"/>
      <c r="F532" s="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3"/>
      <c r="C533" s="4"/>
      <c r="D533" s="4"/>
      <c r="E533" s="4"/>
      <c r="F533" s="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3"/>
      <c r="C534" s="4"/>
      <c r="D534" s="4"/>
      <c r="E534" s="4"/>
      <c r="F534" s="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3"/>
      <c r="C535" s="4"/>
      <c r="D535" s="4"/>
      <c r="E535" s="4"/>
      <c r="F535" s="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3"/>
      <c r="C536" s="4"/>
      <c r="D536" s="4"/>
      <c r="E536" s="4"/>
      <c r="F536" s="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3"/>
      <c r="C537" s="4"/>
      <c r="D537" s="4"/>
      <c r="E537" s="4"/>
      <c r="F537" s="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3"/>
      <c r="C538" s="4"/>
      <c r="D538" s="4"/>
      <c r="E538" s="4"/>
      <c r="F538" s="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3"/>
      <c r="C539" s="4"/>
      <c r="D539" s="4"/>
      <c r="E539" s="4"/>
      <c r="F539" s="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3"/>
      <c r="C540" s="4"/>
      <c r="D540" s="4"/>
      <c r="E540" s="4"/>
      <c r="F540" s="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3"/>
      <c r="C541" s="4"/>
      <c r="D541" s="4"/>
      <c r="E541" s="4"/>
      <c r="F541" s="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3"/>
      <c r="C542" s="4"/>
      <c r="D542" s="4"/>
      <c r="E542" s="4"/>
      <c r="F542" s="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3"/>
      <c r="C543" s="4"/>
      <c r="D543" s="4"/>
      <c r="E543" s="4"/>
      <c r="F543" s="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3"/>
      <c r="C544" s="4"/>
      <c r="D544" s="4"/>
      <c r="E544" s="4"/>
      <c r="F544" s="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3"/>
      <c r="C545" s="4"/>
      <c r="D545" s="4"/>
      <c r="E545" s="4"/>
      <c r="F545" s="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3"/>
      <c r="C546" s="4"/>
      <c r="D546" s="4"/>
      <c r="E546" s="4"/>
      <c r="F546" s="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3"/>
      <c r="C547" s="4"/>
      <c r="D547" s="4"/>
      <c r="E547" s="4"/>
      <c r="F547" s="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3"/>
      <c r="C548" s="4"/>
      <c r="D548" s="4"/>
      <c r="E548" s="4"/>
      <c r="F548" s="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3"/>
      <c r="C549" s="4"/>
      <c r="D549" s="4"/>
      <c r="E549" s="4"/>
      <c r="F549" s="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3"/>
      <c r="C550" s="4"/>
      <c r="D550" s="4"/>
      <c r="E550" s="4"/>
      <c r="F550" s="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3"/>
      <c r="C551" s="4"/>
      <c r="D551" s="4"/>
      <c r="E551" s="4"/>
      <c r="F551" s="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3"/>
      <c r="C552" s="4"/>
      <c r="D552" s="4"/>
      <c r="E552" s="4"/>
      <c r="F552" s="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3"/>
      <c r="C553" s="4"/>
      <c r="D553" s="4"/>
      <c r="E553" s="4"/>
      <c r="F553" s="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3"/>
      <c r="C554" s="4"/>
      <c r="D554" s="4"/>
      <c r="E554" s="4"/>
      <c r="F554" s="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3"/>
      <c r="C555" s="4"/>
      <c r="D555" s="4"/>
      <c r="E555" s="4"/>
      <c r="F555" s="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3"/>
      <c r="C556" s="4"/>
      <c r="D556" s="4"/>
      <c r="E556" s="4"/>
      <c r="F556" s="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3"/>
      <c r="C557" s="4"/>
      <c r="D557" s="4"/>
      <c r="E557" s="4"/>
      <c r="F557" s="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3"/>
      <c r="C558" s="4"/>
      <c r="D558" s="4"/>
      <c r="E558" s="4"/>
      <c r="F558" s="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3"/>
      <c r="C559" s="4"/>
      <c r="D559" s="4"/>
      <c r="E559" s="4"/>
      <c r="F559" s="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3"/>
      <c r="C560" s="4"/>
      <c r="D560" s="4"/>
      <c r="E560" s="4"/>
      <c r="F560" s="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3"/>
      <c r="C561" s="4"/>
      <c r="D561" s="4"/>
      <c r="E561" s="4"/>
      <c r="F561" s="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3"/>
      <c r="C562" s="4"/>
      <c r="D562" s="4"/>
      <c r="E562" s="4"/>
      <c r="F562" s="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3"/>
      <c r="C563" s="4"/>
      <c r="D563" s="4"/>
      <c r="E563" s="4"/>
      <c r="F563" s="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3"/>
      <c r="C564" s="4"/>
      <c r="D564" s="4"/>
      <c r="E564" s="4"/>
      <c r="F564" s="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3"/>
      <c r="C565" s="4"/>
      <c r="D565" s="4"/>
      <c r="E565" s="4"/>
      <c r="F565" s="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3"/>
      <c r="C566" s="4"/>
      <c r="D566" s="4"/>
      <c r="E566" s="4"/>
      <c r="F566" s="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3"/>
      <c r="C567" s="4"/>
      <c r="D567" s="4"/>
      <c r="E567" s="4"/>
      <c r="F567" s="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3"/>
      <c r="C568" s="4"/>
      <c r="D568" s="4"/>
      <c r="E568" s="4"/>
      <c r="F568" s="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3"/>
      <c r="C569" s="4"/>
      <c r="D569" s="4"/>
      <c r="E569" s="4"/>
      <c r="F569" s="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3"/>
      <c r="C570" s="4"/>
      <c r="D570" s="4"/>
      <c r="E570" s="4"/>
      <c r="F570" s="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3"/>
      <c r="C571" s="4"/>
      <c r="D571" s="4"/>
      <c r="E571" s="4"/>
      <c r="F571" s="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3"/>
      <c r="C572" s="4"/>
      <c r="D572" s="4"/>
      <c r="E572" s="4"/>
      <c r="F572" s="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3"/>
      <c r="C573" s="4"/>
      <c r="D573" s="4"/>
      <c r="E573" s="4"/>
      <c r="F573" s="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3"/>
      <c r="C574" s="4"/>
      <c r="D574" s="4"/>
      <c r="E574" s="4"/>
      <c r="F574" s="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3"/>
      <c r="C575" s="4"/>
      <c r="D575" s="4"/>
      <c r="E575" s="4"/>
      <c r="F575" s="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3"/>
      <c r="C576" s="4"/>
      <c r="D576" s="4"/>
      <c r="E576" s="4"/>
      <c r="F576" s="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3"/>
      <c r="C577" s="4"/>
      <c r="D577" s="4"/>
      <c r="E577" s="4"/>
      <c r="F577" s="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3"/>
      <c r="C578" s="4"/>
      <c r="D578" s="4"/>
      <c r="E578" s="4"/>
      <c r="F578" s="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3"/>
      <c r="C579" s="4"/>
      <c r="D579" s="4"/>
      <c r="E579" s="4"/>
      <c r="F579" s="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3"/>
      <c r="C580" s="4"/>
      <c r="D580" s="4"/>
      <c r="E580" s="4"/>
      <c r="F580" s="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3"/>
      <c r="C581" s="4"/>
      <c r="D581" s="4"/>
      <c r="E581" s="4"/>
      <c r="F581" s="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3"/>
      <c r="C582" s="4"/>
      <c r="D582" s="4"/>
      <c r="E582" s="4"/>
      <c r="F582" s="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3"/>
      <c r="C583" s="4"/>
      <c r="D583" s="4"/>
      <c r="E583" s="4"/>
      <c r="F583" s="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3"/>
      <c r="C584" s="4"/>
      <c r="D584" s="4"/>
      <c r="E584" s="4"/>
      <c r="F584" s="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3"/>
      <c r="C585" s="4"/>
      <c r="D585" s="4"/>
      <c r="E585" s="4"/>
      <c r="F585" s="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3"/>
      <c r="C586" s="4"/>
      <c r="D586" s="4"/>
      <c r="E586" s="4"/>
      <c r="F586" s="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3"/>
      <c r="C587" s="4"/>
      <c r="D587" s="4"/>
      <c r="E587" s="4"/>
      <c r="F587" s="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3"/>
      <c r="C588" s="4"/>
      <c r="D588" s="4"/>
      <c r="E588" s="4"/>
      <c r="F588" s="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3"/>
      <c r="C589" s="4"/>
      <c r="D589" s="4"/>
      <c r="E589" s="4"/>
      <c r="F589" s="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3"/>
      <c r="C590" s="4"/>
      <c r="D590" s="4"/>
      <c r="E590" s="4"/>
      <c r="F590" s="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3"/>
      <c r="C591" s="4"/>
      <c r="D591" s="4"/>
      <c r="E591" s="4"/>
      <c r="F591" s="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3"/>
      <c r="C592" s="4"/>
      <c r="D592" s="4"/>
      <c r="E592" s="4"/>
      <c r="F592" s="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3"/>
      <c r="C593" s="4"/>
      <c r="D593" s="4"/>
      <c r="E593" s="4"/>
      <c r="F593" s="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3"/>
      <c r="C594" s="4"/>
      <c r="D594" s="4"/>
      <c r="E594" s="4"/>
      <c r="F594" s="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3"/>
      <c r="C595" s="4"/>
      <c r="D595" s="4"/>
      <c r="E595" s="4"/>
      <c r="F595" s="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3"/>
      <c r="C596" s="4"/>
      <c r="D596" s="4"/>
      <c r="E596" s="4"/>
      <c r="F596" s="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3"/>
      <c r="C597" s="4"/>
      <c r="D597" s="4"/>
      <c r="E597" s="4"/>
      <c r="F597" s="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3"/>
      <c r="C598" s="4"/>
      <c r="D598" s="4"/>
      <c r="E598" s="4"/>
      <c r="F598" s="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3"/>
      <c r="C599" s="4"/>
      <c r="D599" s="4"/>
      <c r="E599" s="4"/>
      <c r="F599" s="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3"/>
      <c r="C600" s="4"/>
      <c r="D600" s="4"/>
      <c r="E600" s="4"/>
      <c r="F600" s="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3"/>
      <c r="C601" s="4"/>
      <c r="D601" s="4"/>
      <c r="E601" s="4"/>
      <c r="F601" s="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3"/>
      <c r="C602" s="4"/>
      <c r="D602" s="4"/>
      <c r="E602" s="4"/>
      <c r="F602" s="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3"/>
      <c r="C603" s="4"/>
      <c r="D603" s="4"/>
      <c r="E603" s="4"/>
      <c r="F603" s="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3"/>
      <c r="C604" s="4"/>
      <c r="D604" s="4"/>
      <c r="E604" s="4"/>
      <c r="F604" s="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3"/>
      <c r="C605" s="4"/>
      <c r="D605" s="4"/>
      <c r="E605" s="4"/>
      <c r="F605" s="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3"/>
      <c r="C606" s="4"/>
      <c r="D606" s="4"/>
      <c r="E606" s="4"/>
      <c r="F606" s="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3"/>
      <c r="C607" s="4"/>
      <c r="D607" s="4"/>
      <c r="E607" s="4"/>
      <c r="F607" s="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3"/>
      <c r="C608" s="4"/>
      <c r="D608" s="4"/>
      <c r="E608" s="4"/>
      <c r="F608" s="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3"/>
      <c r="C609" s="4"/>
      <c r="D609" s="4"/>
      <c r="E609" s="4"/>
      <c r="F609" s="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3"/>
      <c r="C610" s="4"/>
      <c r="D610" s="4"/>
      <c r="E610" s="4"/>
      <c r="F610" s="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3"/>
      <c r="C611" s="4"/>
      <c r="D611" s="4"/>
      <c r="E611" s="4"/>
      <c r="F611" s="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3"/>
      <c r="C612" s="4"/>
      <c r="D612" s="4"/>
      <c r="E612" s="4"/>
      <c r="F612" s="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3"/>
      <c r="C613" s="4"/>
      <c r="D613" s="4"/>
      <c r="E613" s="4"/>
      <c r="F613" s="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3"/>
      <c r="C614" s="4"/>
      <c r="D614" s="4"/>
      <c r="E614" s="4"/>
      <c r="F614" s="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3"/>
      <c r="C615" s="4"/>
      <c r="D615" s="4"/>
      <c r="E615" s="4"/>
      <c r="F615" s="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3"/>
      <c r="C616" s="4"/>
      <c r="D616" s="4"/>
      <c r="E616" s="4"/>
      <c r="F616" s="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3"/>
      <c r="C617" s="4"/>
      <c r="D617" s="4"/>
      <c r="E617" s="4"/>
      <c r="F617" s="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3"/>
      <c r="C618" s="4"/>
      <c r="D618" s="4"/>
      <c r="E618" s="4"/>
      <c r="F618" s="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3"/>
      <c r="C619" s="4"/>
      <c r="D619" s="4"/>
      <c r="E619" s="4"/>
      <c r="F619" s="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3"/>
      <c r="C620" s="4"/>
      <c r="D620" s="4"/>
      <c r="E620" s="4"/>
      <c r="F620" s="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3"/>
      <c r="C621" s="4"/>
      <c r="D621" s="4"/>
      <c r="E621" s="4"/>
      <c r="F621" s="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3"/>
      <c r="C622" s="4"/>
      <c r="D622" s="4"/>
      <c r="E622" s="4"/>
      <c r="F622" s="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3"/>
      <c r="C623" s="4"/>
      <c r="D623" s="4"/>
      <c r="E623" s="4"/>
      <c r="F623" s="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3"/>
      <c r="C624" s="4"/>
      <c r="D624" s="4"/>
      <c r="E624" s="4"/>
      <c r="F624" s="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3"/>
      <c r="C625" s="4"/>
      <c r="D625" s="4"/>
      <c r="E625" s="4"/>
      <c r="F625" s="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3"/>
      <c r="C626" s="4"/>
      <c r="D626" s="4"/>
      <c r="E626" s="4"/>
      <c r="F626" s="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3"/>
      <c r="C627" s="4"/>
      <c r="D627" s="4"/>
      <c r="E627" s="4"/>
      <c r="F627" s="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3"/>
      <c r="C628" s="4"/>
      <c r="D628" s="4"/>
      <c r="E628" s="4"/>
      <c r="F628" s="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3"/>
      <c r="C629" s="4"/>
      <c r="D629" s="4"/>
      <c r="E629" s="4"/>
      <c r="F629" s="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3"/>
      <c r="C630" s="4"/>
      <c r="D630" s="4"/>
      <c r="E630" s="4"/>
      <c r="F630" s="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3"/>
      <c r="C631" s="4"/>
      <c r="D631" s="4"/>
      <c r="E631" s="4"/>
      <c r="F631" s="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3"/>
      <c r="C632" s="4"/>
      <c r="D632" s="4"/>
      <c r="E632" s="4"/>
      <c r="F632" s="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3"/>
      <c r="C633" s="4"/>
      <c r="D633" s="4"/>
      <c r="E633" s="4"/>
      <c r="F633" s="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3"/>
      <c r="C634" s="4"/>
      <c r="D634" s="4"/>
      <c r="E634" s="4"/>
      <c r="F634" s="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3"/>
      <c r="C635" s="4"/>
      <c r="D635" s="4"/>
      <c r="E635" s="4"/>
      <c r="F635" s="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3"/>
      <c r="C636" s="4"/>
      <c r="D636" s="4"/>
      <c r="E636" s="4"/>
      <c r="F636" s="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3"/>
      <c r="C637" s="4"/>
      <c r="D637" s="4"/>
      <c r="E637" s="4"/>
      <c r="F637" s="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3"/>
      <c r="C638" s="4"/>
      <c r="D638" s="4"/>
      <c r="E638" s="4"/>
      <c r="F638" s="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3"/>
      <c r="C639" s="4"/>
      <c r="D639" s="4"/>
      <c r="E639" s="4"/>
      <c r="F639" s="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3"/>
      <c r="C640" s="4"/>
      <c r="D640" s="4"/>
      <c r="E640" s="4"/>
      <c r="F640" s="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3"/>
      <c r="C641" s="4"/>
      <c r="D641" s="4"/>
      <c r="E641" s="4"/>
      <c r="F641" s="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3"/>
      <c r="C642" s="4"/>
      <c r="D642" s="4"/>
      <c r="E642" s="4"/>
      <c r="F642" s="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3"/>
      <c r="C643" s="4"/>
      <c r="D643" s="4"/>
      <c r="E643" s="4"/>
      <c r="F643" s="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3"/>
      <c r="C644" s="4"/>
      <c r="D644" s="4"/>
      <c r="E644" s="4"/>
      <c r="F644" s="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3"/>
      <c r="C645" s="4"/>
      <c r="D645" s="4"/>
      <c r="E645" s="4"/>
      <c r="F645" s="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3"/>
      <c r="C646" s="4"/>
      <c r="D646" s="4"/>
      <c r="E646" s="4"/>
      <c r="F646" s="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3"/>
      <c r="C647" s="4"/>
      <c r="D647" s="4"/>
      <c r="E647" s="4"/>
      <c r="F647" s="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3"/>
      <c r="C648" s="4"/>
      <c r="D648" s="4"/>
      <c r="E648" s="4"/>
      <c r="F648" s="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3"/>
      <c r="C649" s="4"/>
      <c r="D649" s="4"/>
      <c r="E649" s="4"/>
      <c r="F649" s="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3"/>
      <c r="C650" s="4"/>
      <c r="D650" s="4"/>
      <c r="E650" s="4"/>
      <c r="F650" s="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3"/>
      <c r="C651" s="4"/>
      <c r="D651" s="4"/>
      <c r="E651" s="4"/>
      <c r="F651" s="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3"/>
      <c r="C652" s="4"/>
      <c r="D652" s="4"/>
      <c r="E652" s="4"/>
      <c r="F652" s="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3"/>
      <c r="C653" s="4"/>
      <c r="D653" s="4"/>
      <c r="E653" s="4"/>
      <c r="F653" s="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3"/>
      <c r="C654" s="4"/>
      <c r="D654" s="4"/>
      <c r="E654" s="4"/>
      <c r="F654" s="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3"/>
      <c r="C655" s="4"/>
      <c r="D655" s="4"/>
      <c r="E655" s="4"/>
      <c r="F655" s="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3"/>
      <c r="C656" s="4"/>
      <c r="D656" s="4"/>
      <c r="E656" s="4"/>
      <c r="F656" s="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3"/>
      <c r="C657" s="4"/>
      <c r="D657" s="4"/>
      <c r="E657" s="4"/>
      <c r="F657" s="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3"/>
      <c r="C658" s="4"/>
      <c r="D658" s="4"/>
      <c r="E658" s="4"/>
      <c r="F658" s="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3"/>
      <c r="C659" s="4"/>
      <c r="D659" s="4"/>
      <c r="E659" s="4"/>
      <c r="F659" s="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3"/>
      <c r="C660" s="4"/>
      <c r="D660" s="4"/>
      <c r="E660" s="4"/>
      <c r="F660" s="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3"/>
      <c r="C661" s="4"/>
      <c r="D661" s="4"/>
      <c r="E661" s="4"/>
      <c r="F661" s="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3"/>
      <c r="C662" s="4"/>
      <c r="D662" s="4"/>
      <c r="E662" s="4"/>
      <c r="F662" s="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3"/>
      <c r="C663" s="4"/>
      <c r="D663" s="4"/>
      <c r="E663" s="4"/>
      <c r="F663" s="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3"/>
      <c r="C664" s="4"/>
      <c r="D664" s="4"/>
      <c r="E664" s="4"/>
      <c r="F664" s="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3"/>
      <c r="C665" s="4"/>
      <c r="D665" s="4"/>
      <c r="E665" s="4"/>
      <c r="F665" s="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3"/>
      <c r="C666" s="4"/>
      <c r="D666" s="4"/>
      <c r="E666" s="4"/>
      <c r="F666" s="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3"/>
      <c r="C667" s="4"/>
      <c r="D667" s="4"/>
      <c r="E667" s="4"/>
      <c r="F667" s="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3"/>
      <c r="C668" s="4"/>
      <c r="D668" s="4"/>
      <c r="E668" s="4"/>
      <c r="F668" s="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3"/>
      <c r="C669" s="4"/>
      <c r="D669" s="4"/>
      <c r="E669" s="4"/>
      <c r="F669" s="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3"/>
      <c r="C670" s="4"/>
      <c r="D670" s="4"/>
      <c r="E670" s="4"/>
      <c r="F670" s="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3"/>
      <c r="C671" s="4"/>
      <c r="D671" s="4"/>
      <c r="E671" s="4"/>
      <c r="F671" s="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3"/>
      <c r="C672" s="4"/>
      <c r="D672" s="4"/>
      <c r="E672" s="4"/>
      <c r="F672" s="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3"/>
      <c r="C673" s="4"/>
      <c r="D673" s="4"/>
      <c r="E673" s="4"/>
      <c r="F673" s="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3"/>
      <c r="C674" s="4"/>
      <c r="D674" s="4"/>
      <c r="E674" s="4"/>
      <c r="F674" s="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3"/>
      <c r="C675" s="4"/>
      <c r="D675" s="4"/>
      <c r="E675" s="4"/>
      <c r="F675" s="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3"/>
      <c r="C676" s="4"/>
      <c r="D676" s="4"/>
      <c r="E676" s="4"/>
      <c r="F676" s="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3"/>
      <c r="C677" s="4"/>
      <c r="D677" s="4"/>
      <c r="E677" s="4"/>
      <c r="F677" s="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3"/>
      <c r="C678" s="4"/>
      <c r="D678" s="4"/>
      <c r="E678" s="4"/>
      <c r="F678" s="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3"/>
      <c r="C679" s="4"/>
      <c r="D679" s="4"/>
      <c r="E679" s="4"/>
      <c r="F679" s="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3"/>
      <c r="C680" s="4"/>
      <c r="D680" s="4"/>
      <c r="E680" s="4"/>
      <c r="F680" s="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3"/>
      <c r="C681" s="4"/>
      <c r="D681" s="4"/>
      <c r="E681" s="4"/>
      <c r="F681" s="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3"/>
      <c r="C682" s="4"/>
      <c r="D682" s="4"/>
      <c r="E682" s="4"/>
      <c r="F682" s="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3"/>
      <c r="C683" s="4"/>
      <c r="D683" s="4"/>
      <c r="E683" s="4"/>
      <c r="F683" s="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3"/>
      <c r="C684" s="4"/>
      <c r="D684" s="4"/>
      <c r="E684" s="4"/>
      <c r="F684" s="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3"/>
      <c r="C685" s="4"/>
      <c r="D685" s="4"/>
      <c r="E685" s="4"/>
      <c r="F685" s="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3"/>
      <c r="C686" s="4"/>
      <c r="D686" s="4"/>
      <c r="E686" s="4"/>
      <c r="F686" s="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3"/>
      <c r="C687" s="4"/>
      <c r="D687" s="4"/>
      <c r="E687" s="4"/>
      <c r="F687" s="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3"/>
      <c r="C688" s="4"/>
      <c r="D688" s="4"/>
      <c r="E688" s="4"/>
      <c r="F688" s="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3"/>
      <c r="C689" s="4"/>
      <c r="D689" s="4"/>
      <c r="E689" s="4"/>
      <c r="F689" s="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3"/>
      <c r="C690" s="4"/>
      <c r="D690" s="4"/>
      <c r="E690" s="4"/>
      <c r="F690" s="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3"/>
      <c r="C691" s="4"/>
      <c r="D691" s="4"/>
      <c r="E691" s="4"/>
      <c r="F691" s="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3"/>
      <c r="C692" s="4"/>
      <c r="D692" s="4"/>
      <c r="E692" s="4"/>
      <c r="F692" s="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3"/>
      <c r="C693" s="4"/>
      <c r="D693" s="4"/>
      <c r="E693" s="4"/>
      <c r="F693" s="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3"/>
      <c r="C694" s="4"/>
      <c r="D694" s="4"/>
      <c r="E694" s="4"/>
      <c r="F694" s="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3"/>
      <c r="C695" s="4"/>
      <c r="D695" s="4"/>
      <c r="E695" s="4"/>
      <c r="F695" s="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3"/>
      <c r="C696" s="4"/>
      <c r="D696" s="4"/>
      <c r="E696" s="4"/>
      <c r="F696" s="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3"/>
      <c r="C697" s="4"/>
      <c r="D697" s="4"/>
      <c r="E697" s="4"/>
      <c r="F697" s="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3"/>
      <c r="C698" s="4"/>
      <c r="D698" s="4"/>
      <c r="E698" s="4"/>
      <c r="F698" s="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3"/>
      <c r="C699" s="4"/>
      <c r="D699" s="4"/>
      <c r="E699" s="4"/>
      <c r="F699" s="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3"/>
      <c r="C700" s="4"/>
      <c r="D700" s="4"/>
      <c r="E700" s="4"/>
      <c r="F700" s="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3"/>
      <c r="C701" s="4"/>
      <c r="D701" s="4"/>
      <c r="E701" s="4"/>
      <c r="F701" s="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3"/>
      <c r="C702" s="4"/>
      <c r="D702" s="4"/>
      <c r="E702" s="4"/>
      <c r="F702" s="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3"/>
      <c r="C703" s="4"/>
      <c r="D703" s="4"/>
      <c r="E703" s="4"/>
      <c r="F703" s="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3"/>
      <c r="C704" s="4"/>
      <c r="D704" s="4"/>
      <c r="E704" s="4"/>
      <c r="F704" s="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3"/>
      <c r="C705" s="4"/>
      <c r="D705" s="4"/>
      <c r="E705" s="4"/>
      <c r="F705" s="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3"/>
      <c r="C706" s="4"/>
      <c r="D706" s="4"/>
      <c r="E706" s="4"/>
      <c r="F706" s="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3"/>
      <c r="C707" s="4"/>
      <c r="D707" s="4"/>
      <c r="E707" s="4"/>
      <c r="F707" s="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3"/>
      <c r="C708" s="4"/>
      <c r="D708" s="4"/>
      <c r="E708" s="4"/>
      <c r="F708" s="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3"/>
      <c r="C709" s="4"/>
      <c r="D709" s="4"/>
      <c r="E709" s="4"/>
      <c r="F709" s="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3"/>
      <c r="C710" s="4"/>
      <c r="D710" s="4"/>
      <c r="E710" s="4"/>
      <c r="F710" s="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3"/>
      <c r="C711" s="4"/>
      <c r="D711" s="4"/>
      <c r="E711" s="4"/>
      <c r="F711" s="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3"/>
      <c r="C712" s="4"/>
      <c r="D712" s="4"/>
      <c r="E712" s="4"/>
      <c r="F712" s="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3"/>
      <c r="C713" s="4"/>
      <c r="D713" s="4"/>
      <c r="E713" s="4"/>
      <c r="F713" s="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3"/>
      <c r="C714" s="4"/>
      <c r="D714" s="4"/>
      <c r="E714" s="4"/>
      <c r="F714" s="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3"/>
      <c r="C715" s="4"/>
      <c r="D715" s="4"/>
      <c r="E715" s="4"/>
      <c r="F715" s="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3"/>
      <c r="C716" s="4"/>
      <c r="D716" s="4"/>
      <c r="E716" s="4"/>
      <c r="F716" s="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3"/>
      <c r="C717" s="4"/>
      <c r="D717" s="4"/>
      <c r="E717" s="4"/>
      <c r="F717" s="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3"/>
      <c r="C718" s="4"/>
      <c r="D718" s="4"/>
      <c r="E718" s="4"/>
      <c r="F718" s="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3"/>
      <c r="C719" s="4"/>
      <c r="D719" s="4"/>
      <c r="E719" s="4"/>
      <c r="F719" s="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3"/>
      <c r="C720" s="4"/>
      <c r="D720" s="4"/>
      <c r="E720" s="4"/>
      <c r="F720" s="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3"/>
      <c r="C721" s="4"/>
      <c r="D721" s="4"/>
      <c r="E721" s="4"/>
      <c r="F721" s="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3"/>
      <c r="C722" s="4"/>
      <c r="D722" s="4"/>
      <c r="E722" s="4"/>
      <c r="F722" s="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3"/>
      <c r="C723" s="4"/>
      <c r="D723" s="4"/>
      <c r="E723" s="4"/>
      <c r="F723" s="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3"/>
      <c r="C724" s="4"/>
      <c r="D724" s="4"/>
      <c r="E724" s="4"/>
      <c r="F724" s="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3"/>
      <c r="C725" s="4"/>
      <c r="D725" s="4"/>
      <c r="E725" s="4"/>
      <c r="F725" s="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3"/>
      <c r="C726" s="4"/>
      <c r="D726" s="4"/>
      <c r="E726" s="4"/>
      <c r="F726" s="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3"/>
      <c r="C727" s="4"/>
      <c r="D727" s="4"/>
      <c r="E727" s="4"/>
      <c r="F727" s="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3"/>
      <c r="C728" s="4"/>
      <c r="D728" s="4"/>
      <c r="E728" s="4"/>
      <c r="F728" s="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3"/>
      <c r="C729" s="4"/>
      <c r="D729" s="4"/>
      <c r="E729" s="4"/>
      <c r="F729" s="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3"/>
      <c r="C730" s="4"/>
      <c r="D730" s="4"/>
      <c r="E730" s="4"/>
      <c r="F730" s="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3"/>
      <c r="C731" s="4"/>
      <c r="D731" s="4"/>
      <c r="E731" s="4"/>
      <c r="F731" s="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3"/>
      <c r="C732" s="4"/>
      <c r="D732" s="4"/>
      <c r="E732" s="4"/>
      <c r="F732" s="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3"/>
      <c r="C733" s="4"/>
      <c r="D733" s="4"/>
      <c r="E733" s="4"/>
      <c r="F733" s="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3"/>
      <c r="C734" s="4"/>
      <c r="D734" s="4"/>
      <c r="E734" s="4"/>
      <c r="F734" s="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3"/>
      <c r="C735" s="4"/>
      <c r="D735" s="4"/>
      <c r="E735" s="4"/>
      <c r="F735" s="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3"/>
      <c r="C736" s="4"/>
      <c r="D736" s="4"/>
      <c r="E736" s="4"/>
      <c r="F736" s="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3"/>
      <c r="C737" s="4"/>
      <c r="D737" s="4"/>
      <c r="E737" s="4"/>
      <c r="F737" s="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3"/>
      <c r="C738" s="4"/>
      <c r="D738" s="4"/>
      <c r="E738" s="4"/>
      <c r="F738" s="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3"/>
      <c r="C739" s="4"/>
      <c r="D739" s="4"/>
      <c r="E739" s="4"/>
      <c r="F739" s="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3"/>
      <c r="C740" s="4"/>
      <c r="D740" s="4"/>
      <c r="E740" s="4"/>
      <c r="F740" s="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3"/>
      <c r="C741" s="4"/>
      <c r="D741" s="4"/>
      <c r="E741" s="4"/>
      <c r="F741" s="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3"/>
      <c r="C742" s="4"/>
      <c r="D742" s="4"/>
      <c r="E742" s="4"/>
      <c r="F742" s="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3"/>
      <c r="C743" s="4"/>
      <c r="D743" s="4"/>
      <c r="E743" s="4"/>
      <c r="F743" s="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3"/>
      <c r="C744" s="4"/>
      <c r="D744" s="4"/>
      <c r="E744" s="4"/>
      <c r="F744" s="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3"/>
      <c r="C745" s="4"/>
      <c r="D745" s="4"/>
      <c r="E745" s="4"/>
      <c r="F745" s="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3"/>
      <c r="C746" s="4"/>
      <c r="D746" s="4"/>
      <c r="E746" s="4"/>
      <c r="F746" s="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3"/>
      <c r="C747" s="4"/>
      <c r="D747" s="4"/>
      <c r="E747" s="4"/>
      <c r="F747" s="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3"/>
      <c r="C748" s="4"/>
      <c r="D748" s="4"/>
      <c r="E748" s="4"/>
      <c r="F748" s="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3"/>
      <c r="C749" s="4"/>
      <c r="D749" s="4"/>
      <c r="E749" s="4"/>
      <c r="F749" s="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3"/>
      <c r="C750" s="4"/>
      <c r="D750" s="4"/>
      <c r="E750" s="4"/>
      <c r="F750" s="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3"/>
      <c r="C751" s="4"/>
      <c r="D751" s="4"/>
      <c r="E751" s="4"/>
      <c r="F751" s="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3"/>
      <c r="C752" s="4"/>
      <c r="D752" s="4"/>
      <c r="E752" s="4"/>
      <c r="F752" s="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3"/>
      <c r="C753" s="4"/>
      <c r="D753" s="4"/>
      <c r="E753" s="4"/>
      <c r="F753" s="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3"/>
      <c r="C754" s="4"/>
      <c r="D754" s="4"/>
      <c r="E754" s="4"/>
      <c r="F754" s="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3"/>
      <c r="C755" s="4"/>
      <c r="D755" s="4"/>
      <c r="E755" s="4"/>
      <c r="F755" s="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3"/>
      <c r="C756" s="4"/>
      <c r="D756" s="4"/>
      <c r="E756" s="4"/>
      <c r="F756" s="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3"/>
      <c r="C757" s="4"/>
      <c r="D757" s="4"/>
      <c r="E757" s="4"/>
      <c r="F757" s="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3"/>
      <c r="C758" s="4"/>
      <c r="D758" s="4"/>
      <c r="E758" s="4"/>
      <c r="F758" s="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3"/>
      <c r="C759" s="4"/>
      <c r="D759" s="4"/>
      <c r="E759" s="4"/>
      <c r="F759" s="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3"/>
      <c r="C760" s="4"/>
      <c r="D760" s="4"/>
      <c r="E760" s="4"/>
      <c r="F760" s="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3"/>
      <c r="C761" s="4"/>
      <c r="D761" s="4"/>
      <c r="E761" s="4"/>
      <c r="F761" s="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3"/>
      <c r="C762" s="4"/>
      <c r="D762" s="4"/>
      <c r="E762" s="4"/>
      <c r="F762" s="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3"/>
      <c r="C763" s="4"/>
      <c r="D763" s="4"/>
      <c r="E763" s="4"/>
      <c r="F763" s="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3"/>
      <c r="C764" s="4"/>
      <c r="D764" s="4"/>
      <c r="E764" s="4"/>
      <c r="F764" s="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3"/>
      <c r="C765" s="4"/>
      <c r="D765" s="4"/>
      <c r="E765" s="4"/>
      <c r="F765" s="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3"/>
      <c r="C766" s="4"/>
      <c r="D766" s="4"/>
      <c r="E766" s="4"/>
      <c r="F766" s="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3"/>
      <c r="C767" s="4"/>
      <c r="D767" s="4"/>
      <c r="E767" s="4"/>
      <c r="F767" s="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3"/>
      <c r="C768" s="4"/>
      <c r="D768" s="4"/>
      <c r="E768" s="4"/>
      <c r="F768" s="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3"/>
      <c r="C769" s="4"/>
      <c r="D769" s="4"/>
      <c r="E769" s="4"/>
      <c r="F769" s="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3"/>
      <c r="C770" s="4"/>
      <c r="D770" s="4"/>
      <c r="E770" s="4"/>
      <c r="F770" s="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3"/>
      <c r="C771" s="4"/>
      <c r="D771" s="4"/>
      <c r="E771" s="4"/>
      <c r="F771" s="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3"/>
      <c r="C772" s="4"/>
      <c r="D772" s="4"/>
      <c r="E772" s="4"/>
      <c r="F772" s="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3"/>
      <c r="C773" s="4"/>
      <c r="D773" s="4"/>
      <c r="E773" s="4"/>
      <c r="F773" s="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3"/>
      <c r="C774" s="4"/>
      <c r="D774" s="4"/>
      <c r="E774" s="4"/>
      <c r="F774" s="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3"/>
      <c r="C775" s="4"/>
      <c r="D775" s="4"/>
      <c r="E775" s="4"/>
      <c r="F775" s="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3"/>
      <c r="C776" s="4"/>
      <c r="D776" s="4"/>
      <c r="E776" s="4"/>
      <c r="F776" s="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3"/>
      <c r="C777" s="4"/>
      <c r="D777" s="4"/>
      <c r="E777" s="4"/>
      <c r="F777" s="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3"/>
      <c r="C778" s="4"/>
      <c r="D778" s="4"/>
      <c r="E778" s="4"/>
      <c r="F778" s="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3"/>
      <c r="C779" s="4"/>
      <c r="D779" s="4"/>
      <c r="E779" s="4"/>
      <c r="F779" s="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3"/>
      <c r="C780" s="4"/>
      <c r="D780" s="4"/>
      <c r="E780" s="4"/>
      <c r="F780" s="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3"/>
      <c r="C781" s="4"/>
      <c r="D781" s="4"/>
      <c r="E781" s="4"/>
      <c r="F781" s="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3"/>
      <c r="C782" s="4"/>
      <c r="D782" s="4"/>
      <c r="E782" s="4"/>
      <c r="F782" s="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3"/>
      <c r="C783" s="4"/>
      <c r="D783" s="4"/>
      <c r="E783" s="4"/>
      <c r="F783" s="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3"/>
      <c r="C784" s="4"/>
      <c r="D784" s="4"/>
      <c r="E784" s="4"/>
      <c r="F784" s="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3"/>
      <c r="C785" s="4"/>
      <c r="D785" s="4"/>
      <c r="E785" s="4"/>
      <c r="F785" s="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3"/>
      <c r="C786" s="4"/>
      <c r="D786" s="4"/>
      <c r="E786" s="4"/>
      <c r="F786" s="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3"/>
      <c r="C787" s="4"/>
      <c r="D787" s="4"/>
      <c r="E787" s="4"/>
      <c r="F787" s="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3"/>
      <c r="C788" s="4"/>
      <c r="D788" s="4"/>
      <c r="E788" s="4"/>
      <c r="F788" s="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3"/>
      <c r="C789" s="4"/>
      <c r="D789" s="4"/>
      <c r="E789" s="4"/>
      <c r="F789" s="4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3"/>
      <c r="C790" s="4"/>
      <c r="D790" s="4"/>
      <c r="E790" s="4"/>
      <c r="F790" s="4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3"/>
      <c r="C791" s="4"/>
      <c r="D791" s="4"/>
      <c r="E791" s="4"/>
      <c r="F791" s="4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3"/>
      <c r="C792" s="4"/>
      <c r="D792" s="4"/>
      <c r="E792" s="4"/>
      <c r="F792" s="4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3"/>
      <c r="C793" s="4"/>
      <c r="D793" s="4"/>
      <c r="E793" s="4"/>
      <c r="F793" s="4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3"/>
      <c r="C794" s="4"/>
      <c r="D794" s="4"/>
      <c r="E794" s="4"/>
      <c r="F794" s="4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3"/>
      <c r="C795" s="4"/>
      <c r="D795" s="4"/>
      <c r="E795" s="4"/>
      <c r="F795" s="4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3"/>
      <c r="C796" s="4"/>
      <c r="D796" s="4"/>
      <c r="E796" s="4"/>
      <c r="F796" s="4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3"/>
      <c r="C797" s="4"/>
      <c r="D797" s="4"/>
      <c r="E797" s="4"/>
      <c r="F797" s="4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3"/>
      <c r="C798" s="4"/>
      <c r="D798" s="4"/>
      <c r="E798" s="4"/>
      <c r="F798" s="4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3"/>
      <c r="C799" s="4"/>
      <c r="D799" s="4"/>
      <c r="E799" s="4"/>
      <c r="F799" s="4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3"/>
      <c r="C800" s="4"/>
      <c r="D800" s="4"/>
      <c r="E800" s="4"/>
      <c r="F800" s="4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3"/>
      <c r="C801" s="4"/>
      <c r="D801" s="4"/>
      <c r="E801" s="4"/>
      <c r="F801" s="4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3"/>
      <c r="C802" s="4"/>
      <c r="D802" s="4"/>
      <c r="E802" s="4"/>
      <c r="F802" s="4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3"/>
      <c r="C803" s="4"/>
      <c r="D803" s="4"/>
      <c r="E803" s="4"/>
      <c r="F803" s="4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3"/>
      <c r="C804" s="4"/>
      <c r="D804" s="4"/>
      <c r="E804" s="4"/>
      <c r="F804" s="4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3"/>
      <c r="C805" s="4"/>
      <c r="D805" s="4"/>
      <c r="E805" s="4"/>
      <c r="F805" s="4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3"/>
      <c r="C806" s="4"/>
      <c r="D806" s="4"/>
      <c r="E806" s="4"/>
      <c r="F806" s="4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3"/>
      <c r="C807" s="4"/>
      <c r="D807" s="4"/>
      <c r="E807" s="4"/>
      <c r="F807" s="4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3"/>
      <c r="C808" s="4"/>
      <c r="D808" s="4"/>
      <c r="E808" s="4"/>
      <c r="F808" s="4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3"/>
      <c r="C809" s="4"/>
      <c r="D809" s="4"/>
      <c r="E809" s="4"/>
      <c r="F809" s="4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3"/>
      <c r="C810" s="4"/>
      <c r="D810" s="4"/>
      <c r="E810" s="4"/>
      <c r="F810" s="4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3"/>
      <c r="C811" s="4"/>
      <c r="D811" s="4"/>
      <c r="E811" s="4"/>
      <c r="F811" s="4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3"/>
      <c r="C812" s="4"/>
      <c r="D812" s="4"/>
      <c r="E812" s="4"/>
      <c r="F812" s="4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3"/>
      <c r="C813" s="4"/>
      <c r="D813" s="4"/>
      <c r="E813" s="4"/>
      <c r="F813" s="4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3"/>
      <c r="C814" s="4"/>
      <c r="D814" s="4"/>
      <c r="E814" s="4"/>
      <c r="F814" s="4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3"/>
      <c r="C815" s="4"/>
      <c r="D815" s="4"/>
      <c r="E815" s="4"/>
      <c r="F815" s="4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3"/>
      <c r="C816" s="4"/>
      <c r="D816" s="4"/>
      <c r="E816" s="4"/>
      <c r="F816" s="4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3"/>
      <c r="C817" s="4"/>
      <c r="D817" s="4"/>
      <c r="E817" s="4"/>
      <c r="F817" s="4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3"/>
      <c r="C818" s="4"/>
      <c r="D818" s="4"/>
      <c r="E818" s="4"/>
      <c r="F818" s="4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3"/>
      <c r="C819" s="4"/>
      <c r="D819" s="4"/>
      <c r="E819" s="4"/>
      <c r="F819" s="4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3"/>
      <c r="C820" s="4"/>
      <c r="D820" s="4"/>
      <c r="E820" s="4"/>
      <c r="F820" s="4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3"/>
      <c r="C821" s="4"/>
      <c r="D821" s="4"/>
      <c r="E821" s="4"/>
      <c r="F821" s="4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3"/>
      <c r="C822" s="4"/>
      <c r="D822" s="4"/>
      <c r="E822" s="4"/>
      <c r="F822" s="4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3"/>
      <c r="C823" s="4"/>
      <c r="D823" s="4"/>
      <c r="E823" s="4"/>
      <c r="F823" s="4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3"/>
      <c r="C824" s="4"/>
      <c r="D824" s="4"/>
      <c r="E824" s="4"/>
      <c r="F824" s="4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3"/>
      <c r="C825" s="4"/>
      <c r="D825" s="4"/>
      <c r="E825" s="4"/>
      <c r="F825" s="4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3"/>
      <c r="C826" s="4"/>
      <c r="D826" s="4"/>
      <c r="E826" s="4"/>
      <c r="F826" s="4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3"/>
      <c r="C827" s="4"/>
      <c r="D827" s="4"/>
      <c r="E827" s="4"/>
      <c r="F827" s="4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3"/>
      <c r="C828" s="4"/>
      <c r="D828" s="4"/>
      <c r="E828" s="4"/>
      <c r="F828" s="4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3"/>
      <c r="C829" s="4"/>
      <c r="D829" s="4"/>
      <c r="E829" s="4"/>
      <c r="F829" s="4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3"/>
      <c r="C830" s="4"/>
      <c r="D830" s="4"/>
      <c r="E830" s="4"/>
      <c r="F830" s="4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3"/>
      <c r="C831" s="4"/>
      <c r="D831" s="4"/>
      <c r="E831" s="4"/>
      <c r="F831" s="4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3"/>
      <c r="C832" s="4"/>
      <c r="D832" s="4"/>
      <c r="E832" s="4"/>
      <c r="F832" s="4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3"/>
      <c r="C833" s="4"/>
      <c r="D833" s="4"/>
      <c r="E833" s="4"/>
      <c r="F833" s="4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3"/>
      <c r="C834" s="4"/>
      <c r="D834" s="4"/>
      <c r="E834" s="4"/>
      <c r="F834" s="4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3"/>
      <c r="C835" s="4"/>
      <c r="D835" s="4"/>
      <c r="E835" s="4"/>
      <c r="F835" s="4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3"/>
      <c r="C836" s="4"/>
      <c r="D836" s="4"/>
      <c r="E836" s="4"/>
      <c r="F836" s="4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3"/>
      <c r="C837" s="4"/>
      <c r="D837" s="4"/>
      <c r="E837" s="4"/>
      <c r="F837" s="4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3"/>
      <c r="C838" s="4"/>
      <c r="D838" s="4"/>
      <c r="E838" s="4"/>
      <c r="F838" s="4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3"/>
      <c r="C839" s="4"/>
      <c r="D839" s="4"/>
      <c r="E839" s="4"/>
      <c r="F839" s="4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3"/>
      <c r="C840" s="4"/>
      <c r="D840" s="4"/>
      <c r="E840" s="4"/>
      <c r="F840" s="4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3"/>
      <c r="C841" s="4"/>
      <c r="D841" s="4"/>
      <c r="E841" s="4"/>
      <c r="F841" s="4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3"/>
      <c r="C842" s="4"/>
      <c r="D842" s="4"/>
      <c r="E842" s="4"/>
      <c r="F842" s="4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3"/>
      <c r="C843" s="4"/>
      <c r="D843" s="4"/>
      <c r="E843" s="4"/>
      <c r="F843" s="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3"/>
      <c r="C844" s="4"/>
      <c r="D844" s="4"/>
      <c r="E844" s="4"/>
      <c r="F844" s="4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3"/>
      <c r="C845" s="4"/>
      <c r="D845" s="4"/>
      <c r="E845" s="4"/>
      <c r="F845" s="4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3"/>
      <c r="C846" s="4"/>
      <c r="D846" s="4"/>
      <c r="E846" s="4"/>
      <c r="F846" s="4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3"/>
      <c r="C847" s="4"/>
      <c r="D847" s="4"/>
      <c r="E847" s="4"/>
      <c r="F847" s="4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3"/>
      <c r="C848" s="4"/>
      <c r="D848" s="4"/>
      <c r="E848" s="4"/>
      <c r="F848" s="4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3"/>
      <c r="C849" s="4"/>
      <c r="D849" s="4"/>
      <c r="E849" s="4"/>
      <c r="F849" s="4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3"/>
      <c r="C850" s="4"/>
      <c r="D850" s="4"/>
      <c r="E850" s="4"/>
      <c r="F850" s="4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3"/>
      <c r="C851" s="4"/>
      <c r="D851" s="4"/>
      <c r="E851" s="4"/>
      <c r="F851" s="4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3"/>
      <c r="C852" s="4"/>
      <c r="D852" s="4"/>
      <c r="E852" s="4"/>
      <c r="F852" s="4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3"/>
      <c r="C853" s="4"/>
      <c r="D853" s="4"/>
      <c r="E853" s="4"/>
      <c r="F853" s="4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3"/>
      <c r="C854" s="4"/>
      <c r="D854" s="4"/>
      <c r="E854" s="4"/>
      <c r="F854" s="4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3"/>
      <c r="C855" s="4"/>
      <c r="D855" s="4"/>
      <c r="E855" s="4"/>
      <c r="F855" s="4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3"/>
      <c r="C856" s="4"/>
      <c r="D856" s="4"/>
      <c r="E856" s="4"/>
      <c r="F856" s="4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3"/>
      <c r="C857" s="4"/>
      <c r="D857" s="4"/>
      <c r="E857" s="4"/>
      <c r="F857" s="4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3"/>
      <c r="C858" s="4"/>
      <c r="D858" s="4"/>
      <c r="E858" s="4"/>
      <c r="F858" s="4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3"/>
      <c r="C859" s="4"/>
      <c r="D859" s="4"/>
      <c r="E859" s="4"/>
      <c r="F859" s="4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3"/>
      <c r="C860" s="4"/>
      <c r="D860" s="4"/>
      <c r="E860" s="4"/>
      <c r="F860" s="4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3"/>
      <c r="C861" s="4"/>
      <c r="D861" s="4"/>
      <c r="E861" s="4"/>
      <c r="F861" s="4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3"/>
      <c r="C862" s="4"/>
      <c r="D862" s="4"/>
      <c r="E862" s="4"/>
      <c r="F862" s="4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3"/>
      <c r="C863" s="4"/>
      <c r="D863" s="4"/>
      <c r="E863" s="4"/>
      <c r="F863" s="4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3"/>
      <c r="C864" s="4"/>
      <c r="D864" s="4"/>
      <c r="E864" s="4"/>
      <c r="F864" s="4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3"/>
      <c r="C865" s="4"/>
      <c r="D865" s="4"/>
      <c r="E865" s="4"/>
      <c r="F865" s="4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3"/>
      <c r="C866" s="4"/>
      <c r="D866" s="4"/>
      <c r="E866" s="4"/>
      <c r="F866" s="4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3"/>
      <c r="C867" s="4"/>
      <c r="D867" s="4"/>
      <c r="E867" s="4"/>
      <c r="F867" s="4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3"/>
      <c r="C868" s="4"/>
      <c r="D868" s="4"/>
      <c r="E868" s="4"/>
      <c r="F868" s="4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3"/>
      <c r="C869" s="4"/>
      <c r="D869" s="4"/>
      <c r="E869" s="4"/>
      <c r="F869" s="4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3"/>
      <c r="C870" s="4"/>
      <c r="D870" s="4"/>
      <c r="E870" s="4"/>
      <c r="F870" s="4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3"/>
      <c r="C871" s="4"/>
      <c r="D871" s="4"/>
      <c r="E871" s="4"/>
      <c r="F871" s="4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3"/>
      <c r="C872" s="4"/>
      <c r="D872" s="4"/>
      <c r="E872" s="4"/>
      <c r="F872" s="4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3"/>
      <c r="C873" s="4"/>
      <c r="D873" s="4"/>
      <c r="E873" s="4"/>
      <c r="F873" s="4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3"/>
      <c r="C874" s="4"/>
      <c r="D874" s="4"/>
      <c r="E874" s="4"/>
      <c r="F874" s="4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3"/>
      <c r="C875" s="4"/>
      <c r="D875" s="4"/>
      <c r="E875" s="4"/>
      <c r="F875" s="4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3"/>
      <c r="C876" s="4"/>
      <c r="D876" s="4"/>
      <c r="E876" s="4"/>
      <c r="F876" s="4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3"/>
      <c r="C877" s="4"/>
      <c r="D877" s="4"/>
      <c r="E877" s="4"/>
      <c r="F877" s="4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3"/>
      <c r="C878" s="4"/>
      <c r="D878" s="4"/>
      <c r="E878" s="4"/>
      <c r="F878" s="4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3"/>
      <c r="C879" s="4"/>
      <c r="D879" s="4"/>
      <c r="E879" s="4"/>
      <c r="F879" s="4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3"/>
      <c r="C880" s="4"/>
      <c r="D880" s="4"/>
      <c r="E880" s="4"/>
      <c r="F880" s="4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3"/>
      <c r="C881" s="4"/>
      <c r="D881" s="4"/>
      <c r="E881" s="4"/>
      <c r="F881" s="4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3"/>
      <c r="C882" s="4"/>
      <c r="D882" s="4"/>
      <c r="E882" s="4"/>
      <c r="F882" s="4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3"/>
      <c r="C883" s="4"/>
      <c r="D883" s="4"/>
      <c r="E883" s="4"/>
      <c r="F883" s="4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3"/>
      <c r="C884" s="4"/>
      <c r="D884" s="4"/>
      <c r="E884" s="4"/>
      <c r="F884" s="4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3"/>
      <c r="C885" s="4"/>
      <c r="D885" s="4"/>
      <c r="E885" s="4"/>
      <c r="F885" s="4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3"/>
      <c r="C886" s="4"/>
      <c r="D886" s="4"/>
      <c r="E886" s="4"/>
      <c r="F886" s="4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3"/>
      <c r="C887" s="4"/>
      <c r="D887" s="4"/>
      <c r="E887" s="4"/>
      <c r="F887" s="4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3"/>
      <c r="C888" s="4"/>
      <c r="D888" s="4"/>
      <c r="E888" s="4"/>
      <c r="F888" s="4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3"/>
      <c r="C889" s="4"/>
      <c r="D889" s="4"/>
      <c r="E889" s="4"/>
      <c r="F889" s="4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3"/>
      <c r="C890" s="4"/>
      <c r="D890" s="4"/>
      <c r="E890" s="4"/>
      <c r="F890" s="4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3"/>
      <c r="C891" s="4"/>
      <c r="D891" s="4"/>
      <c r="E891" s="4"/>
      <c r="F891" s="4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3"/>
      <c r="C892" s="4"/>
      <c r="D892" s="4"/>
      <c r="E892" s="4"/>
      <c r="F892" s="4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3"/>
      <c r="C893" s="4"/>
      <c r="D893" s="4"/>
      <c r="E893" s="4"/>
      <c r="F893" s="4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3"/>
      <c r="C894" s="4"/>
      <c r="D894" s="4"/>
      <c r="E894" s="4"/>
      <c r="F894" s="4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3"/>
      <c r="C895" s="4"/>
      <c r="D895" s="4"/>
      <c r="E895" s="4"/>
      <c r="F895" s="4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3"/>
      <c r="C896" s="4"/>
      <c r="D896" s="4"/>
      <c r="E896" s="4"/>
      <c r="F896" s="4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3"/>
      <c r="C897" s="4"/>
      <c r="D897" s="4"/>
      <c r="E897" s="4"/>
      <c r="F897" s="4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3"/>
      <c r="C898" s="4"/>
      <c r="D898" s="4"/>
      <c r="E898" s="4"/>
      <c r="F898" s="4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3"/>
      <c r="C899" s="4"/>
      <c r="D899" s="4"/>
      <c r="E899" s="4"/>
      <c r="F899" s="4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3"/>
      <c r="C900" s="4"/>
      <c r="D900" s="4"/>
      <c r="E900" s="4"/>
      <c r="F900" s="4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3"/>
      <c r="C901" s="4"/>
      <c r="D901" s="4"/>
      <c r="E901" s="4"/>
      <c r="F901" s="4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3"/>
      <c r="C902" s="4"/>
      <c r="D902" s="4"/>
      <c r="E902" s="4"/>
      <c r="F902" s="4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3"/>
      <c r="C903" s="4"/>
      <c r="D903" s="4"/>
      <c r="E903" s="4"/>
      <c r="F903" s="4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3"/>
      <c r="C904" s="4"/>
      <c r="D904" s="4"/>
      <c r="E904" s="4"/>
      <c r="F904" s="4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3"/>
      <c r="C905" s="4"/>
      <c r="D905" s="4"/>
      <c r="E905" s="4"/>
      <c r="F905" s="4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3"/>
      <c r="C906" s="4"/>
      <c r="D906" s="4"/>
      <c r="E906" s="4"/>
      <c r="F906" s="4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3"/>
      <c r="C907" s="4"/>
      <c r="D907" s="4"/>
      <c r="E907" s="4"/>
      <c r="F907" s="4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3"/>
      <c r="C908" s="4"/>
      <c r="D908" s="4"/>
      <c r="E908" s="4"/>
      <c r="F908" s="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3"/>
      <c r="C909" s="4"/>
      <c r="D909" s="4"/>
      <c r="E909" s="4"/>
      <c r="F909" s="4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3"/>
      <c r="C910" s="4"/>
      <c r="D910" s="4"/>
      <c r="E910" s="4"/>
      <c r="F910" s="4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3"/>
      <c r="C911" s="4"/>
      <c r="D911" s="4"/>
      <c r="E911" s="4"/>
      <c r="F911" s="4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3"/>
      <c r="C912" s="4"/>
      <c r="D912" s="4"/>
      <c r="E912" s="4"/>
      <c r="F912" s="4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3"/>
      <c r="C913" s="4"/>
      <c r="D913" s="4"/>
      <c r="E913" s="4"/>
      <c r="F913" s="4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3"/>
      <c r="C914" s="4"/>
      <c r="D914" s="4"/>
      <c r="E914" s="4"/>
      <c r="F914" s="4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3"/>
      <c r="C915" s="4"/>
      <c r="D915" s="4"/>
      <c r="E915" s="4"/>
      <c r="F915" s="4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3"/>
      <c r="C916" s="4"/>
      <c r="D916" s="4"/>
      <c r="E916" s="4"/>
      <c r="F916" s="4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3"/>
      <c r="C917" s="4"/>
      <c r="D917" s="4"/>
      <c r="E917" s="4"/>
      <c r="F917" s="4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3"/>
      <c r="C918" s="4"/>
      <c r="D918" s="4"/>
      <c r="E918" s="4"/>
      <c r="F918" s="4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3"/>
      <c r="C919" s="4"/>
      <c r="D919" s="4"/>
      <c r="E919" s="4"/>
      <c r="F919" s="4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3"/>
      <c r="C920" s="4"/>
      <c r="D920" s="4"/>
      <c r="E920" s="4"/>
      <c r="F920" s="4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3"/>
      <c r="C921" s="4"/>
      <c r="D921" s="4"/>
      <c r="E921" s="4"/>
      <c r="F921" s="4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3"/>
      <c r="C922" s="4"/>
      <c r="D922" s="4"/>
      <c r="E922" s="4"/>
      <c r="F922" s="4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3"/>
      <c r="C923" s="4"/>
      <c r="D923" s="4"/>
      <c r="E923" s="4"/>
      <c r="F923" s="4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3"/>
      <c r="C924" s="4"/>
      <c r="D924" s="4"/>
      <c r="E924" s="4"/>
      <c r="F924" s="4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3"/>
      <c r="C925" s="4"/>
      <c r="D925" s="4"/>
      <c r="E925" s="4"/>
      <c r="F925" s="4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3"/>
      <c r="C926" s="4"/>
      <c r="D926" s="4"/>
      <c r="E926" s="4"/>
      <c r="F926" s="4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3"/>
      <c r="C927" s="4"/>
      <c r="D927" s="4"/>
      <c r="E927" s="4"/>
      <c r="F927" s="4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3"/>
      <c r="C928" s="4"/>
      <c r="D928" s="4"/>
      <c r="E928" s="4"/>
      <c r="F928" s="4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3"/>
      <c r="C929" s="4"/>
      <c r="D929" s="4"/>
      <c r="E929" s="4"/>
      <c r="F929" s="4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3"/>
      <c r="C930" s="4"/>
      <c r="D930" s="4"/>
      <c r="E930" s="4"/>
      <c r="F930" s="4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3"/>
      <c r="C931" s="4"/>
      <c r="D931" s="4"/>
      <c r="E931" s="4"/>
      <c r="F931" s="4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3"/>
      <c r="C932" s="4"/>
      <c r="D932" s="4"/>
      <c r="E932" s="4"/>
      <c r="F932" s="4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3"/>
      <c r="C933" s="4"/>
      <c r="D933" s="4"/>
      <c r="E933" s="4"/>
      <c r="F933" s="4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3"/>
      <c r="C934" s="4"/>
      <c r="D934" s="4"/>
      <c r="E934" s="4"/>
      <c r="F934" s="4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3"/>
      <c r="C935" s="4"/>
      <c r="D935" s="4"/>
      <c r="E935" s="4"/>
      <c r="F935" s="4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3"/>
      <c r="C936" s="4"/>
      <c r="D936" s="4"/>
      <c r="E936" s="4"/>
      <c r="F936" s="4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3"/>
      <c r="C937" s="4"/>
      <c r="D937" s="4"/>
      <c r="E937" s="4"/>
      <c r="F937" s="4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3"/>
      <c r="C938" s="4"/>
      <c r="D938" s="4"/>
      <c r="E938" s="4"/>
      <c r="F938" s="4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3"/>
      <c r="C939" s="4"/>
      <c r="D939" s="4"/>
      <c r="E939" s="4"/>
      <c r="F939" s="4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3"/>
      <c r="C940" s="4"/>
      <c r="D940" s="4"/>
      <c r="E940" s="4"/>
      <c r="F940" s="4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3"/>
      <c r="C941" s="4"/>
      <c r="D941" s="4"/>
      <c r="E941" s="4"/>
      <c r="F941" s="4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3"/>
      <c r="C942" s="4"/>
      <c r="D942" s="4"/>
      <c r="E942" s="4"/>
      <c r="F942" s="4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3"/>
      <c r="C943" s="4"/>
      <c r="D943" s="4"/>
      <c r="E943" s="4"/>
      <c r="F943" s="4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3"/>
      <c r="C944" s="4"/>
      <c r="D944" s="4"/>
      <c r="E944" s="4"/>
      <c r="F944" s="4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3"/>
      <c r="C945" s="4"/>
      <c r="D945" s="4"/>
      <c r="E945" s="4"/>
      <c r="F945" s="4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3"/>
      <c r="C946" s="4"/>
      <c r="D946" s="4"/>
      <c r="E946" s="4"/>
      <c r="F946" s="4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3"/>
      <c r="C947" s="4"/>
      <c r="D947" s="4"/>
      <c r="E947" s="4"/>
      <c r="F947" s="4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3"/>
      <c r="C948" s="4"/>
      <c r="D948" s="4"/>
      <c r="E948" s="4"/>
      <c r="F948" s="4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3"/>
      <c r="C949" s="4"/>
      <c r="D949" s="4"/>
      <c r="E949" s="4"/>
      <c r="F949" s="4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3"/>
      <c r="C950" s="4"/>
      <c r="D950" s="4"/>
      <c r="E950" s="4"/>
      <c r="F950" s="4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3"/>
      <c r="C951" s="4"/>
      <c r="D951" s="4"/>
      <c r="E951" s="4"/>
      <c r="F951" s="4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3"/>
      <c r="C952" s="4"/>
      <c r="D952" s="4"/>
      <c r="E952" s="4"/>
      <c r="F952" s="4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3"/>
      <c r="C953" s="4"/>
      <c r="D953" s="4"/>
      <c r="E953" s="4"/>
      <c r="F953" s="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3"/>
      <c r="C954" s="4"/>
      <c r="D954" s="4"/>
      <c r="E954" s="4"/>
      <c r="F954" s="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3"/>
      <c r="C955" s="4"/>
      <c r="D955" s="4"/>
      <c r="E955" s="4"/>
      <c r="F955" s="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3"/>
      <c r="C956" s="4"/>
      <c r="D956" s="4"/>
      <c r="E956" s="4"/>
      <c r="F956" s="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3"/>
      <c r="C957" s="4"/>
      <c r="D957" s="4"/>
      <c r="E957" s="4"/>
      <c r="F957" s="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3"/>
      <c r="C958" s="4"/>
      <c r="D958" s="4"/>
      <c r="E958" s="4"/>
      <c r="F958" s="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3"/>
      <c r="C959" s="4"/>
      <c r="D959" s="4"/>
      <c r="E959" s="4"/>
      <c r="F959" s="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3"/>
      <c r="C960" s="4"/>
      <c r="D960" s="4"/>
      <c r="E960" s="4"/>
      <c r="F960" s="4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3"/>
      <c r="C961" s="4"/>
      <c r="D961" s="4"/>
      <c r="E961" s="4"/>
      <c r="F961" s="4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3"/>
      <c r="C962" s="4"/>
      <c r="D962" s="4"/>
      <c r="E962" s="4"/>
      <c r="F962" s="4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3"/>
      <c r="C963" s="4"/>
      <c r="D963" s="4"/>
      <c r="E963" s="4"/>
      <c r="F963" s="4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3"/>
      <c r="C964" s="4"/>
      <c r="D964" s="4"/>
      <c r="E964" s="4"/>
      <c r="F964" s="4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3"/>
      <c r="C965" s="4"/>
      <c r="D965" s="4"/>
      <c r="E965" s="4"/>
      <c r="F965" s="4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3"/>
      <c r="C966" s="4"/>
      <c r="D966" s="4"/>
      <c r="E966" s="4"/>
      <c r="F966" s="4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3"/>
      <c r="C967" s="4"/>
      <c r="D967" s="4"/>
      <c r="E967" s="4"/>
      <c r="F967" s="4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3"/>
      <c r="C968" s="4"/>
      <c r="D968" s="4"/>
      <c r="E968" s="4"/>
      <c r="F968" s="4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3"/>
      <c r="C969" s="4"/>
      <c r="D969" s="4"/>
      <c r="E969" s="4"/>
      <c r="F969" s="4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3"/>
      <c r="C970" s="4"/>
      <c r="D970" s="4"/>
      <c r="E970" s="4"/>
      <c r="F970" s="4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3"/>
      <c r="C971" s="4"/>
      <c r="D971" s="4"/>
      <c r="E971" s="4"/>
      <c r="F971" s="4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3"/>
      <c r="C972" s="4"/>
      <c r="D972" s="4"/>
      <c r="E972" s="4"/>
      <c r="F972" s="4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3"/>
      <c r="C973" s="4"/>
      <c r="D973" s="4"/>
      <c r="E973" s="4"/>
      <c r="F973" s="4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3"/>
      <c r="C974" s="4"/>
      <c r="D974" s="4"/>
      <c r="E974" s="4"/>
      <c r="F974" s="4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3"/>
      <c r="C975" s="4"/>
      <c r="D975" s="4"/>
      <c r="E975" s="4"/>
      <c r="F975" s="4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3"/>
      <c r="C976" s="4"/>
      <c r="D976" s="4"/>
      <c r="E976" s="4"/>
      <c r="F976" s="4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3"/>
      <c r="C977" s="4"/>
      <c r="D977" s="4"/>
      <c r="E977" s="4"/>
      <c r="F977" s="4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3"/>
      <c r="C978" s="4"/>
      <c r="D978" s="4"/>
      <c r="E978" s="4"/>
      <c r="F978" s="4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3"/>
      <c r="C979" s="4"/>
      <c r="D979" s="4"/>
      <c r="E979" s="4"/>
      <c r="F979" s="4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3"/>
      <c r="C980" s="4"/>
      <c r="D980" s="4"/>
      <c r="E980" s="4"/>
      <c r="F980" s="4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3"/>
      <c r="C981" s="4"/>
      <c r="D981" s="4"/>
      <c r="E981" s="4"/>
      <c r="F981" s="4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3"/>
      <c r="C982" s="4"/>
      <c r="D982" s="4"/>
      <c r="E982" s="4"/>
      <c r="F982" s="4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3"/>
      <c r="C983" s="4"/>
      <c r="D983" s="4"/>
      <c r="E983" s="4"/>
      <c r="F983" s="4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3"/>
      <c r="C984" s="4"/>
      <c r="D984" s="4"/>
      <c r="E984" s="4"/>
      <c r="F984" s="4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3"/>
      <c r="C985" s="4"/>
      <c r="D985" s="4"/>
      <c r="E985" s="4"/>
      <c r="F985" s="4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3"/>
      <c r="C986" s="4"/>
      <c r="D986" s="4"/>
      <c r="E986" s="4"/>
      <c r="F986" s="4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3"/>
      <c r="C987" s="4"/>
      <c r="D987" s="4"/>
      <c r="E987" s="4"/>
      <c r="F987" s="4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3"/>
      <c r="C988" s="4"/>
      <c r="D988" s="4"/>
      <c r="E988" s="4"/>
      <c r="F988" s="4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3"/>
      <c r="C989" s="4"/>
      <c r="D989" s="4"/>
      <c r="E989" s="4"/>
      <c r="F989" s="4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3"/>
      <c r="C990" s="4"/>
      <c r="D990" s="4"/>
      <c r="E990" s="4"/>
      <c r="F990" s="4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3"/>
      <c r="C991" s="4"/>
      <c r="D991" s="4"/>
      <c r="E991" s="4"/>
      <c r="F991" s="4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3"/>
      <c r="C992" s="4"/>
      <c r="D992" s="4"/>
      <c r="E992" s="4"/>
      <c r="F992" s="4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3"/>
      <c r="C993" s="4"/>
      <c r="D993" s="4"/>
      <c r="E993" s="4"/>
      <c r="F993" s="4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3"/>
      <c r="C994" s="4"/>
      <c r="D994" s="4"/>
      <c r="E994" s="4"/>
      <c r="F994" s="4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3"/>
      <c r="C995" s="4"/>
      <c r="D995" s="4"/>
      <c r="E995" s="4"/>
      <c r="F995" s="4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3"/>
      <c r="C996" s="4"/>
      <c r="D996" s="4"/>
      <c r="E996" s="4"/>
      <c r="F996" s="4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3"/>
      <c r="C997" s="4"/>
      <c r="D997" s="4"/>
      <c r="E997" s="4"/>
      <c r="F997" s="4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3"/>
      <c r="C998" s="4"/>
      <c r="D998" s="4"/>
      <c r="E998" s="4"/>
      <c r="F998" s="4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3"/>
      <c r="C999" s="4"/>
      <c r="D999" s="4"/>
      <c r="E999" s="4"/>
      <c r="F999" s="4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3"/>
      <c r="C1000" s="4"/>
      <c r="D1000" s="4"/>
      <c r="E1000" s="4"/>
      <c r="F1000" s="4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3"/>
      <c r="C1001" s="4"/>
      <c r="D1001" s="4"/>
      <c r="E1001" s="4"/>
      <c r="F1001" s="4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3"/>
      <c r="C1002" s="4"/>
      <c r="D1002" s="4"/>
      <c r="E1002" s="4"/>
      <c r="F1002" s="4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2"/>
      <c r="B1003" s="3"/>
      <c r="C1003" s="4"/>
      <c r="D1003" s="4"/>
      <c r="E1003" s="4"/>
      <c r="F1003" s="4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2.75" customHeight="1">
      <c r="A1004" s="2"/>
      <c r="B1004" s="3"/>
      <c r="C1004" s="4"/>
      <c r="D1004" s="4"/>
      <c r="E1004" s="4"/>
      <c r="F1004" s="4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75" customHeight="1">
      <c r="A1005" s="2"/>
      <c r="B1005" s="3"/>
      <c r="C1005" s="4"/>
      <c r="D1005" s="4"/>
      <c r="E1005" s="4"/>
      <c r="F1005" s="4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75" customHeight="1">
      <c r="A1006" s="2"/>
      <c r="B1006" s="3"/>
      <c r="C1006" s="4"/>
      <c r="D1006" s="4"/>
      <c r="E1006" s="4"/>
      <c r="F1006" s="4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2.75" customHeight="1">
      <c r="A1007" s="2"/>
      <c r="B1007" s="3"/>
      <c r="C1007" s="4"/>
      <c r="D1007" s="4"/>
      <c r="E1007" s="4"/>
      <c r="F1007" s="4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2.75" customHeight="1">
      <c r="A1008" s="2"/>
      <c r="B1008" s="3"/>
      <c r="C1008" s="4"/>
      <c r="D1008" s="4"/>
      <c r="E1008" s="4"/>
      <c r="F1008" s="4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2.75" customHeight="1">
      <c r="A1009" s="2"/>
      <c r="B1009" s="3"/>
      <c r="C1009" s="4"/>
      <c r="D1009" s="4"/>
      <c r="E1009" s="4"/>
      <c r="F1009" s="4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2.75" customHeight="1">
      <c r="A1010" s="2"/>
      <c r="B1010" s="3"/>
      <c r="C1010" s="4"/>
      <c r="D1010" s="4"/>
      <c r="E1010" s="4"/>
      <c r="F1010" s="4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2.75" customHeight="1">
      <c r="A1011" s="2"/>
      <c r="B1011" s="3"/>
      <c r="C1011" s="4"/>
      <c r="D1011" s="4"/>
      <c r="E1011" s="4"/>
      <c r="F1011" s="4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2.75" customHeight="1">
      <c r="A1012" s="2"/>
      <c r="B1012" s="3"/>
      <c r="C1012" s="4"/>
      <c r="D1012" s="4"/>
      <c r="E1012" s="4"/>
      <c r="F1012" s="4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2.75" customHeight="1">
      <c r="A1013" s="2"/>
      <c r="B1013" s="3"/>
      <c r="C1013" s="4"/>
      <c r="D1013" s="4"/>
      <c r="E1013" s="4"/>
      <c r="F1013" s="4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2.75" customHeight="1">
      <c r="A1014" s="2"/>
      <c r="B1014" s="3"/>
      <c r="C1014" s="4"/>
      <c r="D1014" s="4"/>
      <c r="E1014" s="4"/>
      <c r="F1014" s="4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2.75" customHeight="1">
      <c r="A1015" s="2"/>
      <c r="B1015" s="3"/>
      <c r="C1015" s="4"/>
      <c r="D1015" s="4"/>
      <c r="E1015" s="4"/>
      <c r="F1015" s="4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2.75" customHeight="1">
      <c r="A1016" s="2"/>
      <c r="B1016" s="3"/>
      <c r="C1016" s="4"/>
      <c r="D1016" s="4"/>
      <c r="E1016" s="4"/>
      <c r="F1016" s="4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2.75" customHeight="1">
      <c r="A1017" s="2"/>
      <c r="B1017" s="3"/>
      <c r="C1017" s="4"/>
      <c r="D1017" s="4"/>
      <c r="E1017" s="4"/>
      <c r="F1017" s="4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2.75" customHeight="1">
      <c r="A1018" s="2"/>
      <c r="B1018" s="3"/>
      <c r="C1018" s="4"/>
      <c r="D1018" s="4"/>
      <c r="E1018" s="4"/>
      <c r="F1018" s="4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2.75" customHeight="1">
      <c r="A1019" s="2"/>
      <c r="B1019" s="3"/>
      <c r="C1019" s="4"/>
      <c r="D1019" s="4"/>
      <c r="E1019" s="4"/>
      <c r="F1019" s="4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2.75" customHeight="1">
      <c r="A1020" s="2"/>
      <c r="B1020" s="3"/>
      <c r="C1020" s="4"/>
      <c r="D1020" s="4"/>
      <c r="E1020" s="4"/>
      <c r="F1020" s="4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2.75" customHeight="1">
      <c r="A1021" s="2"/>
      <c r="B1021" s="3"/>
      <c r="C1021" s="4"/>
      <c r="D1021" s="4"/>
      <c r="E1021" s="4"/>
      <c r="F1021" s="4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2.75" customHeight="1">
      <c r="A1022" s="2"/>
      <c r="B1022" s="3"/>
      <c r="C1022" s="4"/>
      <c r="D1022" s="4"/>
      <c r="E1022" s="4"/>
      <c r="F1022" s="4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2.75" customHeight="1">
      <c r="A1023" s="2"/>
      <c r="B1023" s="3"/>
      <c r="C1023" s="4"/>
      <c r="D1023" s="4"/>
      <c r="E1023" s="4"/>
      <c r="F1023" s="4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2.75" customHeight="1">
      <c r="A1024" s="2"/>
      <c r="B1024" s="3"/>
      <c r="C1024" s="4"/>
      <c r="D1024" s="4"/>
      <c r="E1024" s="4"/>
      <c r="F1024" s="4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2.75" customHeight="1">
      <c r="A1025" s="2"/>
      <c r="B1025" s="3"/>
      <c r="C1025" s="4"/>
      <c r="D1025" s="4"/>
      <c r="E1025" s="4"/>
      <c r="F1025" s="4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2.75" customHeight="1">
      <c r="A1026" s="2"/>
      <c r="B1026" s="3"/>
      <c r="C1026" s="4"/>
      <c r="D1026" s="4"/>
      <c r="E1026" s="4"/>
      <c r="F1026" s="4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2.75" customHeight="1">
      <c r="A1027" s="2"/>
      <c r="B1027" s="3"/>
      <c r="C1027" s="4"/>
      <c r="D1027" s="4"/>
      <c r="E1027" s="4"/>
      <c r="F1027" s="4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2.75" customHeight="1">
      <c r="A1028" s="2"/>
      <c r="B1028" s="3"/>
      <c r="C1028" s="4"/>
      <c r="D1028" s="4"/>
      <c r="E1028" s="4"/>
      <c r="F1028" s="4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2.75" customHeight="1">
      <c r="A1029" s="2"/>
      <c r="B1029" s="3"/>
      <c r="C1029" s="4"/>
      <c r="D1029" s="4"/>
      <c r="E1029" s="4"/>
      <c r="F1029" s="4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2.75" customHeight="1">
      <c r="A1030" s="2"/>
      <c r="B1030" s="3"/>
      <c r="C1030" s="4"/>
      <c r="D1030" s="4"/>
      <c r="E1030" s="4"/>
      <c r="F1030" s="4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1.1506944444444445" footer="0.0" header="0.0" left="0.7479166666666667" right="0.7479166666666667" top="0.9840277777777778"/>
  <pageSetup paperSize="9" scale="78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43"/>
    <col customWidth="1" min="3" max="3" width="40.71"/>
    <col customWidth="1" min="4" max="4" width="9.29"/>
    <col customWidth="1" min="5" max="5" width="9.43"/>
    <col customWidth="1" min="6" max="7" width="9.29"/>
    <col customWidth="1" min="8" max="9" width="37.86"/>
    <col customWidth="1" min="10" max="26" width="8.71"/>
  </cols>
  <sheetData>
    <row r="1" ht="25.5" customHeight="1">
      <c r="A1" s="2"/>
      <c r="B1" s="12" t="s">
        <v>3</v>
      </c>
      <c r="C1" s="14"/>
      <c r="D1" s="14"/>
      <c r="E1" s="14"/>
      <c r="F1" s="14"/>
      <c r="G1" s="14"/>
      <c r="H1" s="1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9"/>
      <c r="B2" s="19"/>
      <c r="C2" s="2"/>
      <c r="D2" s="2"/>
      <c r="E2" s="2"/>
      <c r="F2" s="2"/>
      <c r="G2" s="2"/>
      <c r="H2" s="2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2"/>
      <c r="B3" s="23" t="s">
        <v>1</v>
      </c>
      <c r="C3" s="27" t="str">
        <f>Cover!C4</f>
        <v>Hệ thống quản lí hồ sơ công dân điện tử</v>
      </c>
      <c r="D3" s="17"/>
      <c r="E3" s="29" t="s">
        <v>5</v>
      </c>
      <c r="F3" s="17"/>
      <c r="G3" s="31"/>
      <c r="H3" s="33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2"/>
      <c r="B4" s="23" t="s">
        <v>7</v>
      </c>
      <c r="C4" s="36" t="s">
        <v>6</v>
      </c>
      <c r="D4" s="17"/>
      <c r="E4" s="29" t="s">
        <v>8</v>
      </c>
      <c r="F4" s="17"/>
      <c r="G4" s="31"/>
      <c r="H4" s="3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2"/>
      <c r="B5" s="41" t="s">
        <v>10</v>
      </c>
      <c r="C5" s="27" t="str">
        <f>C4&amp;"_"&amp;"Test Report"&amp;"_"&amp;"v1.0"</f>
        <v>AD05_Test Report_v1.0</v>
      </c>
      <c r="D5" s="17"/>
      <c r="E5" s="29" t="s">
        <v>12</v>
      </c>
      <c r="F5" s="17"/>
      <c r="G5" s="31"/>
      <c r="H5" s="45">
        <v>43223.0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19"/>
      <c r="B6" s="41" t="s">
        <v>13</v>
      </c>
      <c r="C6" s="47"/>
      <c r="D6" s="15"/>
      <c r="E6" s="15"/>
      <c r="F6" s="15"/>
      <c r="G6" s="15"/>
      <c r="H6" s="1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9"/>
      <c r="B7" s="49"/>
      <c r="C7" s="50"/>
      <c r="D7" s="2"/>
      <c r="E7" s="2"/>
      <c r="F7" s="2"/>
      <c r="G7" s="2"/>
      <c r="H7" s="2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49"/>
      <c r="C8" s="50"/>
      <c r="D8" s="2"/>
      <c r="E8" s="2"/>
      <c r="F8" s="2"/>
      <c r="G8" s="2"/>
      <c r="H8" s="2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53"/>
      <c r="B10" s="65" t="s">
        <v>14</v>
      </c>
      <c r="C10" s="67" t="s">
        <v>24</v>
      </c>
      <c r="D10" s="69" t="s">
        <v>26</v>
      </c>
      <c r="E10" s="67" t="s">
        <v>27</v>
      </c>
      <c r="F10" s="67" t="s">
        <v>28</v>
      </c>
      <c r="G10" s="71" t="s">
        <v>29</v>
      </c>
      <c r="H10" s="72" t="s">
        <v>30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61"/>
      <c r="B11" s="74">
        <v>1.0</v>
      </c>
      <c r="C11" s="76" t="s">
        <v>21</v>
      </c>
      <c r="D11" s="74">
        <v>11.0</v>
      </c>
      <c r="E11" s="74">
        <v>0.0</v>
      </c>
      <c r="F11" s="74">
        <v>0.0</v>
      </c>
      <c r="G11" s="74">
        <v>0.0</v>
      </c>
      <c r="H11" s="74">
        <v>11.0</v>
      </c>
      <c r="I11" s="7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61"/>
      <c r="B12" s="74">
        <v>2.0</v>
      </c>
      <c r="C12" s="76" t="s">
        <v>33</v>
      </c>
      <c r="D12" s="74">
        <v>39.0</v>
      </c>
      <c r="E12" s="74">
        <v>0.0</v>
      </c>
      <c r="F12" s="74">
        <v>0.0</v>
      </c>
      <c r="G12" s="74">
        <v>0.0</v>
      </c>
      <c r="H12" s="74">
        <v>39.0</v>
      </c>
      <c r="I12" s="7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61"/>
      <c r="B13" s="74">
        <v>3.0</v>
      </c>
      <c r="C13" s="76" t="s">
        <v>34</v>
      </c>
      <c r="D13" s="74">
        <v>39.0</v>
      </c>
      <c r="E13" s="74">
        <v>0.0</v>
      </c>
      <c r="F13" s="74">
        <v>0.0</v>
      </c>
      <c r="G13" s="74">
        <v>0.0</v>
      </c>
      <c r="H13" s="74">
        <v>39.0</v>
      </c>
      <c r="I13" s="7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61"/>
      <c r="B14" s="74">
        <v>4.0</v>
      </c>
      <c r="C14" s="76" t="s">
        <v>38</v>
      </c>
      <c r="D14" s="74">
        <v>6.0</v>
      </c>
      <c r="E14" s="74">
        <v>0.0</v>
      </c>
      <c r="F14" s="74">
        <v>0.0</v>
      </c>
      <c r="G14" s="74">
        <v>0.0</v>
      </c>
      <c r="H14" s="74">
        <v>6.0</v>
      </c>
      <c r="I14" s="7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61"/>
      <c r="B15" s="74">
        <v>5.0</v>
      </c>
      <c r="C15" s="76" t="s">
        <v>39</v>
      </c>
      <c r="D15" s="74">
        <v>6.0</v>
      </c>
      <c r="E15" s="74">
        <v>0.0</v>
      </c>
      <c r="F15" s="74">
        <v>0.0</v>
      </c>
      <c r="G15" s="74">
        <v>0.0</v>
      </c>
      <c r="H15" s="74">
        <v>6.0</v>
      </c>
      <c r="I15" s="7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61"/>
      <c r="B16" s="74">
        <v>6.0</v>
      </c>
      <c r="C16" s="76" t="s">
        <v>40</v>
      </c>
      <c r="D16" s="74">
        <v>14.0</v>
      </c>
      <c r="E16" s="74">
        <v>0.0</v>
      </c>
      <c r="F16" s="74">
        <v>0.0</v>
      </c>
      <c r="G16" s="74">
        <v>0.0</v>
      </c>
      <c r="H16" s="74">
        <v>14.0</v>
      </c>
      <c r="I16" s="7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61"/>
      <c r="B17" s="74">
        <v>7.0</v>
      </c>
      <c r="C17" s="76" t="s">
        <v>42</v>
      </c>
      <c r="D17" s="74">
        <v>21.0</v>
      </c>
      <c r="E17" s="74">
        <v>0.0</v>
      </c>
      <c r="F17" s="74">
        <v>0.0</v>
      </c>
      <c r="G17" s="74">
        <v>0.0</v>
      </c>
      <c r="H17" s="74">
        <v>21.0</v>
      </c>
      <c r="I17" s="7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61"/>
      <c r="B18" s="74">
        <v>8.0</v>
      </c>
      <c r="C18" s="76" t="s">
        <v>44</v>
      </c>
      <c r="D18" s="74">
        <v>9.0</v>
      </c>
      <c r="E18" s="74">
        <v>0.0</v>
      </c>
      <c r="F18" s="74">
        <v>0.0</v>
      </c>
      <c r="G18" s="74">
        <v>0.0</v>
      </c>
      <c r="H18" s="74">
        <v>9.0</v>
      </c>
      <c r="I18" s="7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61"/>
      <c r="B19" s="74">
        <v>9.0</v>
      </c>
      <c r="C19" s="76" t="s">
        <v>46</v>
      </c>
      <c r="D19" s="74">
        <v>11.0</v>
      </c>
      <c r="E19" s="74">
        <v>0.0</v>
      </c>
      <c r="F19" s="74">
        <v>0.0</v>
      </c>
      <c r="G19" s="74">
        <v>0.0</v>
      </c>
      <c r="H19" s="74">
        <v>11.0</v>
      </c>
      <c r="I19" s="7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61"/>
      <c r="B20" s="74">
        <v>10.0</v>
      </c>
      <c r="C20" s="76" t="s">
        <v>48</v>
      </c>
      <c r="D20" s="74">
        <v>17.0</v>
      </c>
      <c r="E20" s="74">
        <v>0.0</v>
      </c>
      <c r="F20" s="74">
        <v>0.0</v>
      </c>
      <c r="G20" s="74">
        <v>0.0</v>
      </c>
      <c r="H20" s="74">
        <v>17.0</v>
      </c>
      <c r="I20" s="7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61"/>
      <c r="B21" s="74">
        <v>11.0</v>
      </c>
      <c r="C21" s="76" t="s">
        <v>51</v>
      </c>
      <c r="D21" s="74">
        <v>14.0</v>
      </c>
      <c r="E21" s="74">
        <v>0.0</v>
      </c>
      <c r="F21" s="74">
        <v>0.0</v>
      </c>
      <c r="G21" s="74">
        <v>0.0</v>
      </c>
      <c r="H21" s="74">
        <v>14.0</v>
      </c>
      <c r="I21" s="7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61"/>
      <c r="B22" s="74">
        <v>12.0</v>
      </c>
      <c r="C22" s="76" t="s">
        <v>52</v>
      </c>
      <c r="D22" s="74">
        <v>14.0</v>
      </c>
      <c r="E22" s="74">
        <v>0.0</v>
      </c>
      <c r="F22" s="74">
        <v>0.0</v>
      </c>
      <c r="G22" s="74">
        <v>0.0</v>
      </c>
      <c r="H22" s="74">
        <v>14.0</v>
      </c>
      <c r="I22" s="7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61"/>
      <c r="B23" s="74">
        <v>13.0</v>
      </c>
      <c r="C23" s="76" t="s">
        <v>54</v>
      </c>
      <c r="D23" s="74">
        <v>15.0</v>
      </c>
      <c r="E23" s="74">
        <v>0.0</v>
      </c>
      <c r="F23" s="74">
        <v>0.0</v>
      </c>
      <c r="G23" s="74">
        <v>0.0</v>
      </c>
      <c r="H23" s="74">
        <v>15.0</v>
      </c>
      <c r="I23" s="7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61"/>
      <c r="B24" s="74">
        <v>14.0</v>
      </c>
      <c r="C24" s="76" t="s">
        <v>57</v>
      </c>
      <c r="D24" s="74">
        <v>2.0</v>
      </c>
      <c r="E24" s="74">
        <v>0.0</v>
      </c>
      <c r="F24" s="74">
        <v>0.0</v>
      </c>
      <c r="G24" s="74">
        <v>0.0</v>
      </c>
      <c r="H24" s="74">
        <v>2.0</v>
      </c>
      <c r="I24" s="7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61"/>
      <c r="B25" s="74">
        <v>15.0</v>
      </c>
      <c r="C25" s="76" t="s">
        <v>61</v>
      </c>
      <c r="D25" s="74">
        <v>5.0</v>
      </c>
      <c r="E25" s="74">
        <v>0.0</v>
      </c>
      <c r="F25" s="74">
        <v>0.0</v>
      </c>
      <c r="G25" s="74">
        <v>0.0</v>
      </c>
      <c r="H25" s="74">
        <v>5.0</v>
      </c>
      <c r="I25" s="7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61"/>
      <c r="B26" s="74">
        <v>16.0</v>
      </c>
      <c r="C26" s="76" t="s">
        <v>65</v>
      </c>
      <c r="D26" s="74">
        <v>7.0</v>
      </c>
      <c r="E26" s="74">
        <v>0.0</v>
      </c>
      <c r="F26" s="74">
        <v>0.0</v>
      </c>
      <c r="G26" s="74">
        <v>0.0</v>
      </c>
      <c r="H26" s="74">
        <v>7.0</v>
      </c>
      <c r="I26" s="7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61"/>
      <c r="B27" s="74">
        <v>17.0</v>
      </c>
      <c r="C27" s="76" t="s">
        <v>66</v>
      </c>
      <c r="D27" s="74">
        <v>7.0</v>
      </c>
      <c r="E27" s="74">
        <v>0.0</v>
      </c>
      <c r="F27" s="74">
        <v>0.0</v>
      </c>
      <c r="G27" s="74">
        <v>0.0</v>
      </c>
      <c r="H27" s="74">
        <v>7.0</v>
      </c>
      <c r="I27" s="7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61"/>
      <c r="B28" s="74">
        <v>18.0</v>
      </c>
      <c r="C28" s="76" t="s">
        <v>67</v>
      </c>
      <c r="D28" s="74">
        <v>30.0</v>
      </c>
      <c r="E28" s="74">
        <v>0.0</v>
      </c>
      <c r="F28" s="74">
        <v>0.0</v>
      </c>
      <c r="G28" s="74">
        <v>0.0</v>
      </c>
      <c r="H28" s="74">
        <v>30.0</v>
      </c>
      <c r="I28" s="7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61"/>
      <c r="B29" s="74">
        <v>19.0</v>
      </c>
      <c r="C29" s="76" t="s">
        <v>69</v>
      </c>
      <c r="D29" s="74">
        <v>11.0</v>
      </c>
      <c r="E29" s="74">
        <v>0.0</v>
      </c>
      <c r="F29" s="74">
        <v>0.0</v>
      </c>
      <c r="G29" s="74">
        <v>0.0</v>
      </c>
      <c r="H29" s="74">
        <v>11.0</v>
      </c>
      <c r="I29" s="7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61"/>
      <c r="B30" s="74">
        <v>20.0</v>
      </c>
      <c r="C30" s="76" t="s">
        <v>71</v>
      </c>
      <c r="D30" s="74">
        <v>10.0</v>
      </c>
      <c r="E30" s="74">
        <v>0.0</v>
      </c>
      <c r="F30" s="74">
        <v>0.0</v>
      </c>
      <c r="G30" s="74">
        <v>0.0</v>
      </c>
      <c r="H30" s="74">
        <v>10.0</v>
      </c>
      <c r="I30" s="7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61"/>
      <c r="B31" s="74">
        <v>21.0</v>
      </c>
      <c r="C31" s="76" t="s">
        <v>73</v>
      </c>
      <c r="D31" s="74">
        <v>11.0</v>
      </c>
      <c r="E31" s="74">
        <v>0.0</v>
      </c>
      <c r="F31" s="74">
        <v>0.0</v>
      </c>
      <c r="G31" s="74">
        <v>0.0</v>
      </c>
      <c r="H31" s="74">
        <v>11.0</v>
      </c>
      <c r="I31" s="7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61"/>
      <c r="B32" s="74">
        <v>22.0</v>
      </c>
      <c r="C32" s="76" t="s">
        <v>76</v>
      </c>
      <c r="D32" s="74">
        <v>16.0</v>
      </c>
      <c r="E32" s="74">
        <v>0.0</v>
      </c>
      <c r="F32" s="74">
        <v>0.0</v>
      </c>
      <c r="G32" s="74">
        <v>0.0</v>
      </c>
      <c r="H32" s="74">
        <v>16.0</v>
      </c>
      <c r="I32" s="7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61"/>
      <c r="B33" s="74">
        <v>23.0</v>
      </c>
      <c r="C33" s="76" t="s">
        <v>79</v>
      </c>
      <c r="D33" s="74">
        <v>39.0</v>
      </c>
      <c r="E33" s="74">
        <v>0.0</v>
      </c>
      <c r="F33" s="74">
        <v>0.0</v>
      </c>
      <c r="G33" s="74">
        <v>0.0</v>
      </c>
      <c r="H33" s="74">
        <v>39.0</v>
      </c>
      <c r="I33" s="7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61"/>
      <c r="B34" s="74">
        <v>24.0</v>
      </c>
      <c r="C34" s="76" t="s">
        <v>81</v>
      </c>
      <c r="D34" s="74">
        <v>11.0</v>
      </c>
      <c r="E34" s="74">
        <v>0.0</v>
      </c>
      <c r="F34" s="74">
        <v>0.0</v>
      </c>
      <c r="G34" s="74">
        <v>0.0</v>
      </c>
      <c r="H34" s="74">
        <v>11.0</v>
      </c>
      <c r="I34" s="7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61"/>
      <c r="B35" s="74">
        <v>25.0</v>
      </c>
      <c r="C35" s="76" t="s">
        <v>84</v>
      </c>
      <c r="D35" s="74">
        <v>12.0</v>
      </c>
      <c r="E35" s="74">
        <v>0.0</v>
      </c>
      <c r="F35" s="74">
        <v>0.0</v>
      </c>
      <c r="G35" s="74">
        <v>0.0</v>
      </c>
      <c r="H35" s="74">
        <v>12.0</v>
      </c>
      <c r="I35" s="7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61"/>
      <c r="B36" s="74">
        <v>26.0</v>
      </c>
      <c r="C36" s="76" t="s">
        <v>86</v>
      </c>
      <c r="D36" s="74">
        <v>1.0</v>
      </c>
      <c r="E36" s="74">
        <v>0.0</v>
      </c>
      <c r="F36" s="74">
        <v>0.0</v>
      </c>
      <c r="G36" s="74">
        <v>0.0</v>
      </c>
      <c r="H36" s="74">
        <v>1.0</v>
      </c>
      <c r="I36" s="7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61"/>
      <c r="B37" s="74">
        <v>27.0</v>
      </c>
      <c r="C37" s="76" t="s">
        <v>92</v>
      </c>
      <c r="D37" s="74">
        <v>8.0</v>
      </c>
      <c r="E37" s="74">
        <v>0.0</v>
      </c>
      <c r="F37" s="74">
        <v>0.0</v>
      </c>
      <c r="G37" s="74">
        <v>0.0</v>
      </c>
      <c r="H37" s="74">
        <v>8.0</v>
      </c>
      <c r="I37" s="7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95"/>
      <c r="C38" s="96" t="s">
        <v>97</v>
      </c>
      <c r="D38" s="99">
        <f t="shared" ref="D38:H38" si="1">SUM(D9:D37)</f>
        <v>386</v>
      </c>
      <c r="E38" s="99">
        <f t="shared" si="1"/>
        <v>0</v>
      </c>
      <c r="F38" s="99">
        <f t="shared" si="1"/>
        <v>0</v>
      </c>
      <c r="G38" s="99">
        <f t="shared" si="1"/>
        <v>0</v>
      </c>
      <c r="H38" s="100">
        <f t="shared" si="1"/>
        <v>386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101"/>
      <c r="C39" s="2"/>
      <c r="D39" s="102"/>
      <c r="E39" s="103"/>
      <c r="F39" s="103"/>
      <c r="G39" s="103"/>
      <c r="H39" s="10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105" t="s">
        <v>109</v>
      </c>
      <c r="D40" s="2"/>
      <c r="E40" s="107">
        <f>(D38+E38)*100/(H38-G38)</f>
        <v>100</v>
      </c>
      <c r="F40" s="2" t="s">
        <v>110</v>
      </c>
      <c r="G40" s="2"/>
      <c r="H40" s="10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105" t="s">
        <v>111</v>
      </c>
      <c r="D41" s="2"/>
      <c r="E41" s="107">
        <f>D38*100/(H38-G38)</f>
        <v>100</v>
      </c>
      <c r="F41" s="2" t="s">
        <v>110</v>
      </c>
      <c r="G41" s="2"/>
      <c r="H41" s="10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2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2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2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2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2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2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2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2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2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2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2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2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2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2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2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2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2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2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</sheetData>
  <mergeCells count="8">
    <mergeCell ref="C6:H6"/>
    <mergeCell ref="B1:H1"/>
    <mergeCell ref="C3:D3"/>
    <mergeCell ref="E3:F3"/>
    <mergeCell ref="C4:D4"/>
    <mergeCell ref="E4:F4"/>
    <mergeCell ref="C5:D5"/>
    <mergeCell ref="E5:F5"/>
  </mergeCells>
  <printOptions/>
  <pageMargins bottom="0.9840277777777777" footer="0.0" header="0.0" left="0.7479166666666667" right="0.7479166666666667" top="0.9840277777777778"/>
  <pageSetup scale="95"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8.43"/>
    <col customWidth="1" min="2" max="2" width="21.86"/>
    <col customWidth="1" min="3" max="3" width="29.29"/>
    <col customWidth="1" min="4" max="4" width="32.57"/>
    <col customWidth="1" min="5" max="5" width="19.29"/>
    <col customWidth="1" min="6" max="6" width="8.14"/>
    <col customWidth="1" min="7" max="7" width="12.0"/>
    <col customWidth="1" min="8" max="8" width="20.14"/>
    <col customWidth="1" min="9" max="9" width="9.43"/>
    <col customWidth="1" hidden="1" min="10" max="10" width="3.29"/>
    <col customWidth="1" min="11" max="26" width="8.71"/>
  </cols>
  <sheetData>
    <row r="1" ht="12.75" customHeight="1">
      <c r="A1" s="109"/>
      <c r="B1" s="110"/>
      <c r="C1" s="110"/>
      <c r="D1" s="110"/>
      <c r="E1" s="110"/>
      <c r="F1" s="111"/>
      <c r="G1" s="112"/>
      <c r="H1" s="24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15" t="s">
        <v>112</v>
      </c>
      <c r="B2" s="116" t="s">
        <v>113</v>
      </c>
      <c r="C2" s="15"/>
      <c r="D2" s="15"/>
      <c r="E2" s="15"/>
      <c r="F2" s="117"/>
      <c r="G2" s="24"/>
      <c r="H2" s="24"/>
      <c r="I2" s="113"/>
      <c r="J2" s="114" t="s">
        <v>26</v>
      </c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ht="25.5" customHeight="1">
      <c r="A3" s="118" t="s">
        <v>114</v>
      </c>
      <c r="B3" s="119" t="s">
        <v>115</v>
      </c>
      <c r="C3" s="15"/>
      <c r="D3" s="15"/>
      <c r="E3" s="15"/>
      <c r="F3" s="117"/>
      <c r="G3" s="24"/>
      <c r="H3" s="24"/>
      <c r="I3" s="113"/>
      <c r="J3" s="114" t="s">
        <v>27</v>
      </c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116</v>
      </c>
      <c r="B4" s="120" t="s">
        <v>117</v>
      </c>
      <c r="C4" s="121"/>
      <c r="D4" s="121"/>
      <c r="E4" s="121"/>
      <c r="F4" s="122"/>
      <c r="G4" s="24"/>
      <c r="H4" s="24"/>
      <c r="I4" s="113"/>
      <c r="J4" s="123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24" t="s">
        <v>26</v>
      </c>
      <c r="B5" s="125" t="s">
        <v>27</v>
      </c>
      <c r="C5" s="125" t="s">
        <v>28</v>
      </c>
      <c r="D5" s="126" t="s">
        <v>29</v>
      </c>
      <c r="E5" s="127" t="s">
        <v>118</v>
      </c>
      <c r="F5" s="117"/>
      <c r="G5" s="128"/>
      <c r="H5" s="128"/>
      <c r="I5" s="129"/>
      <c r="J5" s="114" t="s">
        <v>119</v>
      </c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130">
        <f>COUNTIF(F10:F1006,"Pass")</f>
        <v>15</v>
      </c>
      <c r="B6" s="131">
        <f>COUNTIF(F10:F1006,"Fail")</f>
        <v>0</v>
      </c>
      <c r="C6" s="131">
        <f>E6-D6-B6-A6</f>
        <v>0</v>
      </c>
      <c r="D6" s="132">
        <f>COUNTIF(F$10:F$1006,"N/A")</f>
        <v>0</v>
      </c>
      <c r="E6" s="133">
        <f>COUNTA(A10:A1006)</f>
        <v>15</v>
      </c>
      <c r="F6" s="134"/>
      <c r="G6" s="128"/>
      <c r="H6" s="128"/>
      <c r="I6" s="129"/>
      <c r="J6" s="114" t="s">
        <v>29</v>
      </c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114"/>
      <c r="B7" s="114"/>
      <c r="C7" s="114"/>
      <c r="D7" s="108"/>
      <c r="E7" s="108"/>
      <c r="F7" s="128"/>
      <c r="G7" s="128"/>
      <c r="H7" s="128"/>
      <c r="I7" s="129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 ht="25.5" customHeight="1">
      <c r="A8" s="135" t="s">
        <v>120</v>
      </c>
      <c r="B8" s="135" t="s">
        <v>121</v>
      </c>
      <c r="C8" s="135" t="s">
        <v>122</v>
      </c>
      <c r="D8" s="135" t="s">
        <v>123</v>
      </c>
      <c r="E8" s="136" t="s">
        <v>124</v>
      </c>
      <c r="F8" s="136" t="s">
        <v>125</v>
      </c>
      <c r="G8" s="136" t="s">
        <v>126</v>
      </c>
      <c r="H8" s="135" t="s">
        <v>127</v>
      </c>
      <c r="I8" s="137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 ht="15.75" customHeight="1">
      <c r="A9" s="138"/>
      <c r="B9" s="139" t="s">
        <v>128</v>
      </c>
      <c r="C9" s="140"/>
      <c r="D9" s="140"/>
      <c r="E9" s="140"/>
      <c r="F9" s="140"/>
      <c r="G9" s="140"/>
      <c r="H9" s="141"/>
      <c r="I9" s="142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ht="29.25" customHeight="1">
      <c r="A10" s="143" t="str">
        <f t="shared" ref="A10:A13" si="1">IF(OR(B10&lt;&gt;"",D10&lt;&gt;""),"[GUI-"&amp;TEXT($B$2,"##")&amp;"-"&amp;TEXT(ROW()-9,"##")&amp;"]","")</f>
        <v>[GUI-LG-1]</v>
      </c>
      <c r="B10" s="144" t="s">
        <v>129</v>
      </c>
      <c r="C10" s="145" t="s">
        <v>60</v>
      </c>
      <c r="D10" s="146" t="s">
        <v>130</v>
      </c>
      <c r="E10" s="147" t="s">
        <v>60</v>
      </c>
      <c r="F10" s="143" t="s">
        <v>26</v>
      </c>
      <c r="G10" s="148">
        <v>43232.0</v>
      </c>
      <c r="H10" s="143"/>
      <c r="I10" s="149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</row>
    <row r="11" ht="12.75" customHeight="1">
      <c r="A11" s="143" t="str">
        <f t="shared" si="1"/>
        <v>[GUI-LG-2]</v>
      </c>
      <c r="B11" s="144" t="s">
        <v>131</v>
      </c>
      <c r="C11" s="143" t="s">
        <v>60</v>
      </c>
      <c r="D11" s="146" t="s">
        <v>132</v>
      </c>
      <c r="E11" s="151" t="s">
        <v>60</v>
      </c>
      <c r="F11" s="143" t="s">
        <v>26</v>
      </c>
      <c r="G11" s="152">
        <v>43232.0</v>
      </c>
      <c r="H11" s="143"/>
      <c r="I11" s="14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43" t="str">
        <f t="shared" si="1"/>
        <v>[GUI-LG-3]</v>
      </c>
      <c r="B12" s="143" t="s">
        <v>133</v>
      </c>
      <c r="C12" s="143" t="s">
        <v>60</v>
      </c>
      <c r="D12" s="146" t="s">
        <v>134</v>
      </c>
      <c r="E12" s="151" t="s">
        <v>60</v>
      </c>
      <c r="F12" s="143" t="s">
        <v>26</v>
      </c>
      <c r="G12" s="152">
        <v>43232.0</v>
      </c>
      <c r="H12" s="143"/>
      <c r="I12" s="14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43" t="str">
        <f t="shared" si="1"/>
        <v>[GUI-LG-4]</v>
      </c>
      <c r="B13" s="144" t="s">
        <v>135</v>
      </c>
      <c r="C13" s="143" t="s">
        <v>60</v>
      </c>
      <c r="D13" s="146" t="s">
        <v>134</v>
      </c>
      <c r="E13" s="151" t="s">
        <v>60</v>
      </c>
      <c r="F13" s="143" t="s">
        <v>26</v>
      </c>
      <c r="G13" s="152">
        <v>43232.0</v>
      </c>
      <c r="H13" s="143"/>
      <c r="I13" s="14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40"/>
      <c r="B14" s="139" t="s">
        <v>136</v>
      </c>
      <c r="C14" s="140"/>
      <c r="D14" s="140"/>
      <c r="E14" s="140"/>
      <c r="F14" s="140"/>
      <c r="G14" s="140"/>
      <c r="H14" s="141"/>
      <c r="I14" s="142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 ht="12.75" customHeight="1">
      <c r="A15" s="143" t="str">
        <f t="shared" ref="A15:A21" si="2">IF(OR(B15&lt;&gt;"",D15&lt;&gt;""),"[FUNC-"&amp;TEXT($B$2,"##")&amp;"-"&amp;TEXT(ROW()-14,"##")&amp;"]","")</f>
        <v>[FUNC-LG-1]</v>
      </c>
      <c r="B15" s="143" t="s">
        <v>137</v>
      </c>
      <c r="C15" s="144" t="s">
        <v>138</v>
      </c>
      <c r="D15" s="143" t="s">
        <v>139</v>
      </c>
      <c r="E15" s="143"/>
      <c r="F15" s="143" t="s">
        <v>26</v>
      </c>
      <c r="G15" s="152">
        <v>43232.0</v>
      </c>
      <c r="H15" s="143"/>
      <c r="I15" s="14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43" t="str">
        <f t="shared" si="2"/>
        <v>[FUNC-LG-2]</v>
      </c>
      <c r="B16" s="143" t="s">
        <v>140</v>
      </c>
      <c r="C16" s="144" t="s">
        <v>141</v>
      </c>
      <c r="D16" s="143" t="s">
        <v>142</v>
      </c>
      <c r="E16" s="143"/>
      <c r="F16" s="143" t="s">
        <v>26</v>
      </c>
      <c r="G16" s="152">
        <v>43232.0</v>
      </c>
      <c r="H16" s="153"/>
      <c r="I16" s="15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43" t="str">
        <f t="shared" si="2"/>
        <v>[FUNC-LG-3]</v>
      </c>
      <c r="B17" s="143" t="s">
        <v>143</v>
      </c>
      <c r="C17" s="144" t="s">
        <v>144</v>
      </c>
      <c r="D17" s="143" t="s">
        <v>145</v>
      </c>
      <c r="E17" s="143"/>
      <c r="F17" s="143" t="s">
        <v>26</v>
      </c>
      <c r="G17" s="152">
        <v>43232.0</v>
      </c>
      <c r="H17" s="153"/>
      <c r="I17" s="15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43" t="str">
        <f t="shared" si="2"/>
        <v>[FUNC-LG-4]</v>
      </c>
      <c r="B18" s="143" t="s">
        <v>146</v>
      </c>
      <c r="C18" s="144" t="s">
        <v>147</v>
      </c>
      <c r="D18" s="143" t="s">
        <v>148</v>
      </c>
      <c r="E18" s="143" t="s">
        <v>149</v>
      </c>
      <c r="F18" s="143" t="s">
        <v>26</v>
      </c>
      <c r="G18" s="152">
        <v>43232.0</v>
      </c>
      <c r="H18" s="153"/>
      <c r="I18" s="15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43" t="str">
        <f t="shared" si="2"/>
        <v>[FUNC-LG-5]</v>
      </c>
      <c r="B19" s="143" t="s">
        <v>150</v>
      </c>
      <c r="C19" s="143" t="s">
        <v>151</v>
      </c>
      <c r="D19" s="143" t="s">
        <v>152</v>
      </c>
      <c r="E19" s="143" t="s">
        <v>153</v>
      </c>
      <c r="F19" s="143" t="s">
        <v>26</v>
      </c>
      <c r="G19" s="152">
        <v>43232.0</v>
      </c>
      <c r="H19" s="153"/>
      <c r="I19" s="15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43" t="str">
        <f t="shared" si="2"/>
        <v>[FUNC-LG-6]</v>
      </c>
      <c r="B20" s="143" t="s">
        <v>154</v>
      </c>
      <c r="C20" s="144" t="s">
        <v>155</v>
      </c>
      <c r="D20" s="143" t="s">
        <v>156</v>
      </c>
      <c r="E20" s="143" t="s">
        <v>153</v>
      </c>
      <c r="F20" s="143" t="s">
        <v>26</v>
      </c>
      <c r="G20" s="152">
        <v>43232.0</v>
      </c>
      <c r="H20" s="153"/>
      <c r="I20" s="15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43" t="str">
        <f t="shared" si="2"/>
        <v>[FUNC-LG-7]</v>
      </c>
      <c r="B21" s="143" t="s">
        <v>146</v>
      </c>
      <c r="C21" s="144" t="s">
        <v>157</v>
      </c>
      <c r="D21" s="143" t="s">
        <v>158</v>
      </c>
      <c r="E21" s="143" t="s">
        <v>149</v>
      </c>
      <c r="F21" s="143" t="s">
        <v>26</v>
      </c>
      <c r="G21" s="152">
        <v>43232.0</v>
      </c>
      <c r="H21" s="153"/>
      <c r="I21" s="15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8"/>
      <c r="B22" s="139" t="s">
        <v>159</v>
      </c>
      <c r="C22" s="140"/>
      <c r="D22" s="140"/>
      <c r="E22" s="140"/>
      <c r="F22" s="140"/>
      <c r="G22" s="140"/>
      <c r="H22" s="141"/>
      <c r="I22" s="142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 ht="12.75" customHeight="1">
      <c r="A23" s="143" t="str">
        <f>IF(OR(B23&lt;&gt;"",D23&lt;&gt;""),"[GUI-"&amp;TEXT($B$2,"##")&amp;"-"&amp;TEXT(ROW()-18,"##")&amp;"]","")</f>
        <v>[GUI-LG-5]</v>
      </c>
      <c r="B23" s="143" t="s">
        <v>160</v>
      </c>
      <c r="C23" s="143" t="s">
        <v>60</v>
      </c>
      <c r="D23" s="143" t="s">
        <v>161</v>
      </c>
      <c r="E23" s="143" t="s">
        <v>60</v>
      </c>
      <c r="F23" s="143" t="s">
        <v>26</v>
      </c>
      <c r="G23" s="152">
        <v>43232.0</v>
      </c>
      <c r="H23" s="143"/>
      <c r="I23" s="14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44" t="s">
        <v>162</v>
      </c>
      <c r="B24" s="155" t="s">
        <v>163</v>
      </c>
      <c r="C24" s="156" t="s">
        <v>60</v>
      </c>
      <c r="D24" s="155" t="s">
        <v>164</v>
      </c>
      <c r="E24" s="156" t="s">
        <v>60</v>
      </c>
      <c r="F24" s="156" t="s">
        <v>26</v>
      </c>
      <c r="G24" s="157">
        <v>43232.0</v>
      </c>
      <c r="H24" s="158"/>
      <c r="I24" s="159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 ht="12.75" customHeight="1">
      <c r="A25" s="144" t="s">
        <v>162</v>
      </c>
      <c r="B25" s="155" t="s">
        <v>165</v>
      </c>
      <c r="C25" s="156" t="s">
        <v>60</v>
      </c>
      <c r="D25" s="155" t="s">
        <v>166</v>
      </c>
      <c r="E25" s="156" t="s">
        <v>60</v>
      </c>
      <c r="F25" s="156" t="s">
        <v>26</v>
      </c>
      <c r="G25" s="157">
        <v>43232.0</v>
      </c>
      <c r="H25" s="156"/>
      <c r="I25" s="161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 ht="12.75" customHeight="1">
      <c r="A26" s="138"/>
      <c r="B26" s="139" t="s">
        <v>167</v>
      </c>
      <c r="C26" s="140"/>
      <c r="D26" s="140"/>
      <c r="E26" s="140"/>
      <c r="F26" s="140"/>
      <c r="G26" s="140"/>
      <c r="H26" s="141"/>
      <c r="I26" s="15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43" t="str">
        <f>IF(OR(B27&lt;&gt;"",D27&lt;&gt;""),"[FUNC-"&amp;TEXT($B$2,"##")&amp;"-"&amp;TEXT(ROW()-17,"##")&amp;"]","")</f>
        <v>[FUNC-LG-10]</v>
      </c>
      <c r="B27" s="143" t="s">
        <v>168</v>
      </c>
      <c r="C27" s="143" t="s">
        <v>169</v>
      </c>
      <c r="D27" s="143" t="s">
        <v>170</v>
      </c>
      <c r="E27" s="143" t="s">
        <v>171</v>
      </c>
      <c r="F27" s="143" t="s">
        <v>26</v>
      </c>
      <c r="G27" s="152">
        <v>43232.0</v>
      </c>
      <c r="H27" s="143"/>
      <c r="I27" s="15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15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15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15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15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15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15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15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15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15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15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15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15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15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15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15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15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15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15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15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15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15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15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15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15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15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15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15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15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15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15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15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15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15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15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15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15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15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15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15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15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15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15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15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15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15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15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15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15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15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15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15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15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15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15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15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15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15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15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15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15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15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15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15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15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15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15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15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15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15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15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15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15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15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15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15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15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15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15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15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15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15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15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15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15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15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15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15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15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15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15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15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15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15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15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15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15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15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15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15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15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15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15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15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15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15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15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15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15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15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15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15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15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15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15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15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154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15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15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15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15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15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15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15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15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15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154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15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154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15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154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15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15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15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154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15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15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15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15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15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15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15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15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15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15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15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15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15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15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15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15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15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154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15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154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15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154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15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154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15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154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15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154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15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154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15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154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15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154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15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15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15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15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15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15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15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15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15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15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15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15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15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15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15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15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15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15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15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15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15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15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15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15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15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15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15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15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15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15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15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15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15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15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15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15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15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15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15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15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15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15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15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15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15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154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15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154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15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15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15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15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15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15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15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15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15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15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15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15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15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15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15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15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15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15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15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15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15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15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15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154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15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154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15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15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15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154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15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154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15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15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15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154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15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154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15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154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15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154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15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154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15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15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15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15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15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154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15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154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15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154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15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154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15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154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15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154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15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15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15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15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15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15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15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15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15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154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15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154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15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154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15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154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15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154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15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154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15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154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15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15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15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15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15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15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15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15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15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154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15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154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15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154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15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15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15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15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15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15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15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15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15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15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15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15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15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15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15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15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15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15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15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15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15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15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15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15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15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15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15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154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15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154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15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154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154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154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15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15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15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15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15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15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15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15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15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15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15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15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15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15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15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15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15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15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15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15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15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15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15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15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15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15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15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154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15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154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154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154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15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154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15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154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15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154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15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154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15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154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15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154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15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154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15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15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15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154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15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15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15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154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15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154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15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154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15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154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154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154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154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154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154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154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154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154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154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154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154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154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154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154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154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154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154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154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154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154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154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154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154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154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154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154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154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154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154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154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154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154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154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154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154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154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154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154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154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154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154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154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154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154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154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154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154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154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154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154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154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154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154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154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154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154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154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154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154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154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154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154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154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154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154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154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15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154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15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15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15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15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15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15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15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15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15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15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15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15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15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15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15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15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15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15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15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15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15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15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15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15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15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15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15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15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15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15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15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15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15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15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15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15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15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15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15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15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15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15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15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15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15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15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15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15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15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15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15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15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15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15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15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15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15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15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15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15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15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15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15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15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15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15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15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15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15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15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15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15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15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15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15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15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15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15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15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15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15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15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15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15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15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15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15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15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15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15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15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15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15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15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15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15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15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15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15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15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15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15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15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15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15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15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15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15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15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15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15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15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15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15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15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15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15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15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15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15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15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15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15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15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15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15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15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15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15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15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15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15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15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15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15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15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15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15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15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15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15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15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15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15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15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15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15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15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15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15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15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15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15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15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15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15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15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15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15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15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15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15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15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15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15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15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15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15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15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15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15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15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15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15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15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15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15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15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15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15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15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15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15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15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15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15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15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15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15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15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15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15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15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15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15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15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15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15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15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15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15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15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15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15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15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15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15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15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15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15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15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15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15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15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15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15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15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15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15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15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15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15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15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15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15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15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15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15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15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15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15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15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15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15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15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15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15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15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15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15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15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15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15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15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15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15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15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15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15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15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15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15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15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15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15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15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15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15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15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15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15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15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15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15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15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15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15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15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15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15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15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15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15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15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15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15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15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15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15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15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15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15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15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15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15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15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15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15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15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15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15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15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15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15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15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15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15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15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15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15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15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15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15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15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15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15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15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15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15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15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15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15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15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15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15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15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15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15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15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15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15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15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15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15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15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15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15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15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15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15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15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15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15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15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15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15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15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15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15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15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15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15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15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15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15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15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15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15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15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15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15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15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15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15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15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15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15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15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15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15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15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15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15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15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15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15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15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15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15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15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15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15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15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15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15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15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15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15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15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15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15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15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15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15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15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15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15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15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15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15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15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15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15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15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15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15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15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15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15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15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15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15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15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15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15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15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15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15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15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15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15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15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15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15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15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15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15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15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15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15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15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15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15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15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15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15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15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15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15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15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15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15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15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15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15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15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15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15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15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15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15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15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15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15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15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15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15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15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15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15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15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15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15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15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15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15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15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15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15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15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15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15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15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15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15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15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15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15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15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15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15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15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15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15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15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15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15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15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15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15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15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15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15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15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15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15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15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15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15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15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15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15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15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15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15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15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15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15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15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15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154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5">
    <mergeCell ref="E5:F5"/>
    <mergeCell ref="E6:F6"/>
    <mergeCell ref="B2:F2"/>
    <mergeCell ref="B3:F3"/>
    <mergeCell ref="B4:F4"/>
  </mergeCells>
  <dataValidations>
    <dataValidation type="list" allowBlank="1" showErrorMessage="1" sqref="F1 F7:F153">
      <formula1>$J$2:$J$6</formula1>
    </dataValidation>
  </dataValidations>
  <printOptions/>
  <pageMargins bottom="0.9840277777777777" footer="0.0" header="0.0" left="0.7479166666666667" right="0.25" top="0.75"/>
  <pageSetup paperSize="9" scale="7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5.14"/>
    <col customWidth="1" min="3" max="3" width="27.86"/>
    <col customWidth="1" min="4" max="4" width="25.14"/>
    <col customWidth="1" min="5" max="5" width="27.86"/>
    <col customWidth="1" min="6" max="6" width="10.43"/>
    <col customWidth="1" min="7" max="7" width="11.43"/>
    <col customWidth="1" min="8" max="8" width="10.43"/>
    <col customWidth="1" min="9" max="26" width="25.14"/>
  </cols>
  <sheetData>
    <row r="1" ht="12.75" customHeight="1">
      <c r="A1" s="163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 ht="12.75" customHeight="1">
      <c r="A2" s="165" t="s">
        <v>24</v>
      </c>
      <c r="B2" s="166" t="s">
        <v>23</v>
      </c>
      <c r="C2" s="15"/>
      <c r="D2" s="15"/>
      <c r="E2" s="17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</row>
    <row r="3" ht="12.75" customHeight="1">
      <c r="A3" s="165" t="s">
        <v>175</v>
      </c>
      <c r="B3" s="167" t="s">
        <v>176</v>
      </c>
      <c r="C3" s="15"/>
      <c r="D3" s="15"/>
      <c r="E3" s="17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ht="12.75" customHeight="1">
      <c r="A4" s="165" t="s">
        <v>116</v>
      </c>
      <c r="B4" s="166" t="s">
        <v>117</v>
      </c>
      <c r="C4" s="15"/>
      <c r="D4" s="15"/>
      <c r="E4" s="17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2.75" customHeight="1">
      <c r="A5" s="168" t="s">
        <v>26</v>
      </c>
      <c r="B5" s="168" t="s">
        <v>27</v>
      </c>
      <c r="C5" s="168" t="s">
        <v>28</v>
      </c>
      <c r="D5" s="168" t="s">
        <v>29</v>
      </c>
      <c r="E5" s="169" t="s">
        <v>118</v>
      </c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</row>
    <row r="6" ht="12.75" customHeight="1">
      <c r="A6" s="170">
        <f>COUNTIF(F10:F997,"Pass")</f>
        <v>112</v>
      </c>
      <c r="B6" s="131">
        <f>COUNTIF(F10:F997,"Fail")</f>
        <v>0</v>
      </c>
      <c r="C6" s="131">
        <f>E6-D6-B6-A6</f>
        <v>-5</v>
      </c>
      <c r="D6" s="132">
        <f>COUNTIF(F$10:F$997,"N/A")</f>
        <v>0</v>
      </c>
      <c r="E6" s="131">
        <f>COUNTA(A10:A997)</f>
        <v>107</v>
      </c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 ht="12.75" customHeight="1">
      <c r="A7" s="164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 ht="12.75" customHeight="1">
      <c r="A8" s="135" t="s">
        <v>120</v>
      </c>
      <c r="B8" s="135" t="s">
        <v>121</v>
      </c>
      <c r="C8" s="135" t="s">
        <v>122</v>
      </c>
      <c r="D8" s="135" t="s">
        <v>123</v>
      </c>
      <c r="E8" s="172" t="s">
        <v>179</v>
      </c>
      <c r="F8" s="136" t="s">
        <v>125</v>
      </c>
      <c r="G8" s="135" t="s">
        <v>126</v>
      </c>
      <c r="H8" s="135" t="s">
        <v>127</v>
      </c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 ht="12.75" customHeight="1">
      <c r="A9" s="174"/>
      <c r="B9" s="176" t="s">
        <v>182</v>
      </c>
      <c r="C9" s="178"/>
      <c r="D9" s="178"/>
      <c r="E9" s="178"/>
      <c r="F9" s="178"/>
      <c r="G9" s="178"/>
      <c r="H9" s="180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</row>
    <row r="10" ht="12.75" customHeight="1">
      <c r="A10" s="182" t="s">
        <v>185</v>
      </c>
      <c r="B10" s="182" t="s">
        <v>188</v>
      </c>
      <c r="C10" s="143"/>
      <c r="D10" s="183" t="s">
        <v>189</v>
      </c>
      <c r="E10" s="184"/>
      <c r="F10" s="185" t="s">
        <v>26</v>
      </c>
      <c r="G10" s="186">
        <v>43232.0</v>
      </c>
      <c r="H10" s="185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</row>
    <row r="11" ht="12.75" customHeight="1">
      <c r="A11" s="182" t="s">
        <v>196</v>
      </c>
      <c r="B11" s="187" t="s">
        <v>197</v>
      </c>
      <c r="C11" s="188"/>
      <c r="D11" s="189" t="s">
        <v>202</v>
      </c>
      <c r="E11" s="184"/>
      <c r="F11" s="185" t="s">
        <v>26</v>
      </c>
      <c r="G11" s="186">
        <v>43232.0</v>
      </c>
      <c r="H11" s="185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 ht="12.75" customHeight="1">
      <c r="A12" s="182" t="s">
        <v>204</v>
      </c>
      <c r="B12" s="144" t="s">
        <v>205</v>
      </c>
      <c r="C12" s="143"/>
      <c r="D12" s="189" t="s">
        <v>206</v>
      </c>
      <c r="E12" s="190"/>
      <c r="F12" s="185" t="s">
        <v>26</v>
      </c>
      <c r="G12" s="186">
        <v>43232.0</v>
      </c>
      <c r="H12" s="185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 ht="12.75" customHeight="1">
      <c r="A13" s="187" t="s">
        <v>208</v>
      </c>
      <c r="B13" s="191" t="s">
        <v>209</v>
      </c>
      <c r="C13" s="144" t="s">
        <v>213</v>
      </c>
      <c r="D13" s="192" t="s">
        <v>215</v>
      </c>
      <c r="E13" s="190"/>
      <c r="F13" s="185" t="s">
        <v>26</v>
      </c>
      <c r="G13" s="186">
        <v>43232.0</v>
      </c>
      <c r="H13" s="185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</row>
    <row r="14" ht="12.75" customHeight="1">
      <c r="A14" s="187" t="s">
        <v>217</v>
      </c>
      <c r="B14" s="193"/>
      <c r="C14" s="144" t="s">
        <v>218</v>
      </c>
      <c r="D14" s="192" t="s">
        <v>219</v>
      </c>
      <c r="E14" s="190"/>
      <c r="F14" s="185" t="s">
        <v>26</v>
      </c>
      <c r="G14" s="186">
        <v>43232.0</v>
      </c>
      <c r="H14" s="185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 ht="12.75" customHeight="1">
      <c r="A15" s="187" t="s">
        <v>220</v>
      </c>
      <c r="B15" s="193"/>
      <c r="C15" s="144" t="s">
        <v>221</v>
      </c>
      <c r="D15" s="192" t="s">
        <v>222</v>
      </c>
      <c r="E15" s="190"/>
      <c r="F15" s="185" t="s">
        <v>26</v>
      </c>
      <c r="G15" s="186">
        <v>43232.0</v>
      </c>
      <c r="H15" s="185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</row>
    <row r="16" ht="12.75" customHeight="1">
      <c r="A16" s="187" t="s">
        <v>223</v>
      </c>
      <c r="B16" s="195"/>
      <c r="C16" s="144" t="s">
        <v>225</v>
      </c>
      <c r="D16" s="192" t="s">
        <v>226</v>
      </c>
      <c r="E16" s="190"/>
      <c r="F16" s="185" t="s">
        <v>26</v>
      </c>
      <c r="G16" s="186">
        <v>43232.0</v>
      </c>
      <c r="H16" s="185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 ht="12.75" customHeight="1">
      <c r="A17" s="197" t="s">
        <v>228</v>
      </c>
      <c r="B17" s="179"/>
      <c r="C17" s="155" t="s">
        <v>229</v>
      </c>
      <c r="D17" s="192" t="s">
        <v>230</v>
      </c>
      <c r="E17" s="190"/>
      <c r="F17" s="185" t="s">
        <v>26</v>
      </c>
      <c r="G17" s="186">
        <v>43232.0</v>
      </c>
      <c r="H17" s="185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ht="12.75" customHeight="1">
      <c r="A18" s="197" t="s">
        <v>232</v>
      </c>
      <c r="B18" s="179"/>
      <c r="C18" s="155" t="s">
        <v>233</v>
      </c>
      <c r="D18" s="192" t="s">
        <v>234</v>
      </c>
      <c r="E18" s="190"/>
      <c r="F18" s="185" t="s">
        <v>26</v>
      </c>
      <c r="G18" s="186">
        <v>43232.0</v>
      </c>
      <c r="H18" s="185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</row>
    <row r="19" ht="12.75" customHeight="1">
      <c r="A19" s="199" t="s">
        <v>235</v>
      </c>
      <c r="B19" s="51"/>
      <c r="C19" s="155" t="s">
        <v>236</v>
      </c>
      <c r="D19" s="192" t="s">
        <v>237</v>
      </c>
      <c r="E19" s="190"/>
      <c r="F19" s="185" t="s">
        <v>26</v>
      </c>
      <c r="G19" s="186">
        <v>43232.0</v>
      </c>
      <c r="H19" s="185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 ht="12.75" customHeight="1">
      <c r="A20" s="182" t="s">
        <v>238</v>
      </c>
      <c r="B20" s="144" t="s">
        <v>239</v>
      </c>
      <c r="C20" s="192" t="s">
        <v>240</v>
      </c>
      <c r="D20" s="189" t="s">
        <v>206</v>
      </c>
      <c r="E20" s="190"/>
      <c r="F20" s="185" t="s">
        <v>26</v>
      </c>
      <c r="G20" s="186">
        <v>43232.0</v>
      </c>
      <c r="H20" s="185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</row>
    <row r="21" ht="12.75" customHeight="1">
      <c r="A21" s="182" t="s">
        <v>241</v>
      </c>
      <c r="B21" s="144" t="s">
        <v>242</v>
      </c>
      <c r="C21" s="192" t="s">
        <v>243</v>
      </c>
      <c r="D21" s="189" t="s">
        <v>206</v>
      </c>
      <c r="E21" s="190"/>
      <c r="F21" s="185" t="s">
        <v>26</v>
      </c>
      <c r="G21" s="186">
        <v>43232.0</v>
      </c>
      <c r="H21" s="185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</row>
    <row r="22" ht="12.75" customHeight="1">
      <c r="A22" s="182" t="s">
        <v>244</v>
      </c>
      <c r="B22" s="144" t="s">
        <v>245</v>
      </c>
      <c r="C22" s="192" t="s">
        <v>240</v>
      </c>
      <c r="D22" s="189" t="s">
        <v>206</v>
      </c>
      <c r="E22" s="190"/>
      <c r="F22" s="185" t="s">
        <v>26</v>
      </c>
      <c r="G22" s="186">
        <v>43232.0</v>
      </c>
      <c r="H22" s="185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</row>
    <row r="23" ht="12.75" customHeight="1">
      <c r="A23" s="182" t="s">
        <v>246</v>
      </c>
      <c r="B23" s="144" t="s">
        <v>247</v>
      </c>
      <c r="C23" s="192" t="s">
        <v>243</v>
      </c>
      <c r="D23" s="189" t="s">
        <v>206</v>
      </c>
      <c r="E23" s="190"/>
      <c r="F23" s="185" t="s">
        <v>26</v>
      </c>
      <c r="G23" s="186">
        <v>43232.0</v>
      </c>
      <c r="H23" s="185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</row>
    <row r="24" ht="12.75" customHeight="1">
      <c r="B24" s="144" t="s">
        <v>249</v>
      </c>
      <c r="C24" s="192" t="s">
        <v>250</v>
      </c>
      <c r="D24" s="203" t="s">
        <v>206</v>
      </c>
      <c r="E24" s="190"/>
      <c r="F24" s="185" t="s">
        <v>26</v>
      </c>
      <c r="G24" s="186">
        <v>43232.0</v>
      </c>
      <c r="H24" s="185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 ht="12.75" customHeight="1">
      <c r="A25" s="204"/>
      <c r="B25" s="205" t="s">
        <v>256</v>
      </c>
      <c r="C25" s="206"/>
      <c r="D25" s="206"/>
      <c r="E25" s="178"/>
      <c r="F25" s="178"/>
      <c r="G25" s="178"/>
      <c r="H25" s="180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 ht="12.75" customHeight="1">
      <c r="A26" s="143" t="s">
        <v>260</v>
      </c>
      <c r="B26" s="207" t="s">
        <v>261</v>
      </c>
      <c r="C26" s="182" t="s">
        <v>264</v>
      </c>
      <c r="D26" s="187" t="s">
        <v>265</v>
      </c>
      <c r="E26" s="208"/>
      <c r="F26" s="185" t="s">
        <v>26</v>
      </c>
      <c r="G26" s="186">
        <v>43232.0</v>
      </c>
      <c r="H26" s="185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 ht="12.75" customHeight="1">
      <c r="A27" s="143" t="s">
        <v>270</v>
      </c>
      <c r="B27" s="209" t="s">
        <v>273</v>
      </c>
      <c r="C27" s="211" t="s">
        <v>275</v>
      </c>
      <c r="D27" s="144" t="s">
        <v>277</v>
      </c>
      <c r="E27" s="212" t="s">
        <v>278</v>
      </c>
      <c r="F27" s="185" t="s">
        <v>26</v>
      </c>
      <c r="G27" s="186">
        <v>43232.0</v>
      </c>
      <c r="H27" s="185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 ht="12.75" customHeight="1">
      <c r="A28" s="143" t="s">
        <v>279</v>
      </c>
      <c r="B28" s="209" t="s">
        <v>280</v>
      </c>
      <c r="C28" s="211" t="s">
        <v>281</v>
      </c>
      <c r="D28" s="144" t="s">
        <v>282</v>
      </c>
      <c r="E28" s="212" t="s">
        <v>278</v>
      </c>
      <c r="F28" s="185" t="s">
        <v>26</v>
      </c>
      <c r="G28" s="186">
        <v>43232.0</v>
      </c>
      <c r="H28" s="185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 ht="12.75" customHeight="1">
      <c r="A29" s="143" t="s">
        <v>284</v>
      </c>
      <c r="B29" s="209" t="s">
        <v>285</v>
      </c>
      <c r="C29" s="211" t="s">
        <v>286</v>
      </c>
      <c r="D29" s="144" t="s">
        <v>287</v>
      </c>
      <c r="E29" s="212" t="s">
        <v>278</v>
      </c>
      <c r="F29" s="185" t="s">
        <v>26</v>
      </c>
      <c r="G29" s="186">
        <v>43232.0</v>
      </c>
      <c r="H29" s="185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 ht="12.75" customHeight="1">
      <c r="A30" s="174"/>
      <c r="B30" s="176" t="s">
        <v>288</v>
      </c>
      <c r="C30" s="178"/>
      <c r="D30" s="178"/>
      <c r="E30" s="178"/>
      <c r="F30" s="178"/>
      <c r="G30" s="178"/>
      <c r="H30" s="180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 ht="12.75" customHeight="1">
      <c r="A31" s="153" t="s">
        <v>178</v>
      </c>
      <c r="B31" s="215" t="s">
        <v>289</v>
      </c>
      <c r="C31" s="215" t="s">
        <v>290</v>
      </c>
      <c r="D31" s="216" t="s">
        <v>291</v>
      </c>
      <c r="E31" s="215"/>
      <c r="F31" s="217" t="s">
        <v>26</v>
      </c>
      <c r="G31" s="215"/>
      <c r="H31" s="215"/>
      <c r="I31" s="218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</row>
    <row r="32" ht="12.75" customHeight="1">
      <c r="A32" s="222" t="s">
        <v>203</v>
      </c>
      <c r="B32" s="223" t="s">
        <v>294</v>
      </c>
      <c r="C32" s="223" t="s">
        <v>296</v>
      </c>
      <c r="D32" s="224" t="s">
        <v>214</v>
      </c>
      <c r="E32" s="223"/>
      <c r="F32" s="225" t="s">
        <v>26</v>
      </c>
      <c r="G32" s="223"/>
      <c r="H32" s="223"/>
      <c r="I32" s="227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2.75" customHeight="1">
      <c r="A33" s="222" t="s">
        <v>297</v>
      </c>
      <c r="B33" s="223" t="s">
        <v>298</v>
      </c>
      <c r="C33" s="223" t="s">
        <v>299</v>
      </c>
      <c r="D33" s="224" t="s">
        <v>214</v>
      </c>
      <c r="E33" s="223"/>
      <c r="F33" s="225" t="s">
        <v>26</v>
      </c>
      <c r="G33" s="223"/>
      <c r="H33" s="223"/>
      <c r="I33" s="227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2.75" customHeight="1">
      <c r="A34" s="222" t="s">
        <v>300</v>
      </c>
      <c r="B34" s="223" t="s">
        <v>301</v>
      </c>
      <c r="C34" s="223" t="s">
        <v>302</v>
      </c>
      <c r="D34" s="224" t="s">
        <v>291</v>
      </c>
      <c r="E34" s="223"/>
      <c r="F34" s="225" t="s">
        <v>26</v>
      </c>
      <c r="G34" s="223"/>
      <c r="H34" s="223"/>
      <c r="I34" s="227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2.75" customHeight="1">
      <c r="A35" s="222" t="s">
        <v>305</v>
      </c>
      <c r="B35" s="223" t="s">
        <v>306</v>
      </c>
      <c r="C35" s="223" t="s">
        <v>307</v>
      </c>
      <c r="D35" s="224" t="s">
        <v>308</v>
      </c>
      <c r="E35" s="223"/>
      <c r="F35" s="225" t="s">
        <v>26</v>
      </c>
      <c r="G35" s="223"/>
      <c r="H35" s="223"/>
      <c r="I35" s="230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2.75" customHeight="1">
      <c r="A36" s="222" t="s">
        <v>310</v>
      </c>
      <c r="B36" s="223" t="s">
        <v>311</v>
      </c>
      <c r="C36" s="223" t="s">
        <v>312</v>
      </c>
      <c r="D36" s="224" t="s">
        <v>313</v>
      </c>
      <c r="E36" s="223"/>
      <c r="F36" s="225" t="s">
        <v>26</v>
      </c>
      <c r="G36" s="223"/>
      <c r="H36" s="223"/>
      <c r="I36" s="230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2.75" customHeight="1">
      <c r="A37" s="222" t="s">
        <v>315</v>
      </c>
      <c r="B37" s="223" t="s">
        <v>317</v>
      </c>
      <c r="C37" s="223" t="s">
        <v>318</v>
      </c>
      <c r="D37" s="224" t="s">
        <v>291</v>
      </c>
      <c r="E37" s="223"/>
      <c r="F37" s="225" t="s">
        <v>26</v>
      </c>
      <c r="G37" s="223"/>
      <c r="H37" s="223"/>
      <c r="I37" s="230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2.75" customHeight="1">
      <c r="A38" s="222"/>
      <c r="B38" s="223" t="s">
        <v>320</v>
      </c>
      <c r="C38" s="223" t="s">
        <v>321</v>
      </c>
      <c r="D38" s="224" t="s">
        <v>291</v>
      </c>
      <c r="E38" s="223"/>
      <c r="F38" s="233" t="s">
        <v>26</v>
      </c>
      <c r="G38" s="223"/>
      <c r="H38" s="223"/>
      <c r="I38" s="230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2.75" customHeight="1">
      <c r="A39" s="222" t="s">
        <v>324</v>
      </c>
      <c r="B39" s="223" t="s">
        <v>325</v>
      </c>
      <c r="C39" s="223"/>
      <c r="D39" s="223" t="s">
        <v>214</v>
      </c>
      <c r="E39" s="223"/>
      <c r="F39" s="233" t="s">
        <v>26</v>
      </c>
      <c r="G39" s="223"/>
      <c r="H39" s="223"/>
      <c r="I39" s="230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2.75" customHeight="1">
      <c r="A40" s="222" t="s">
        <v>326</v>
      </c>
      <c r="B40" s="223" t="s">
        <v>327</v>
      </c>
      <c r="C40" s="223"/>
      <c r="D40" s="223" t="s">
        <v>214</v>
      </c>
      <c r="E40" s="223"/>
      <c r="F40" s="233" t="s">
        <v>26</v>
      </c>
      <c r="G40" s="223"/>
      <c r="H40" s="223"/>
      <c r="I40" s="230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2.75" customHeight="1">
      <c r="A41" s="222" t="s">
        <v>328</v>
      </c>
      <c r="B41" s="223" t="s">
        <v>329</v>
      </c>
      <c r="C41" s="223"/>
      <c r="D41" s="223" t="s">
        <v>214</v>
      </c>
      <c r="E41" s="223"/>
      <c r="F41" s="233" t="s">
        <v>26</v>
      </c>
      <c r="G41" s="223"/>
      <c r="H41" s="223"/>
      <c r="I41" s="230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</row>
    <row r="42" ht="12.75" customHeight="1">
      <c r="A42" s="235"/>
      <c r="B42" s="237" t="s">
        <v>331</v>
      </c>
      <c r="C42" s="239"/>
      <c r="D42" s="241"/>
      <c r="E42" s="239"/>
      <c r="F42" s="239"/>
      <c r="G42" s="239"/>
      <c r="H42" s="241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 ht="12.75" customHeight="1">
      <c r="A43" s="244" t="s">
        <v>332</v>
      </c>
      <c r="B43" s="246" t="s">
        <v>333</v>
      </c>
      <c r="C43" s="246" t="s">
        <v>334</v>
      </c>
      <c r="D43" s="248" t="s">
        <v>335</v>
      </c>
      <c r="E43" s="248"/>
      <c r="F43" s="251" t="s">
        <v>26</v>
      </c>
      <c r="G43" s="248"/>
      <c r="H43" s="248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 ht="12.75" customHeight="1">
      <c r="A44" s="51"/>
      <c r="B44" s="58"/>
      <c r="C44" s="58"/>
      <c r="D44" s="58"/>
      <c r="E44" s="58"/>
      <c r="F44" s="51"/>
      <c r="G44" s="58"/>
      <c r="H44" s="58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 ht="12.75" customHeight="1">
      <c r="A45" s="255" t="s">
        <v>336</v>
      </c>
      <c r="B45" s="246" t="s">
        <v>337</v>
      </c>
      <c r="C45" s="246" t="s">
        <v>338</v>
      </c>
      <c r="D45" s="246" t="s">
        <v>339</v>
      </c>
      <c r="E45" s="248"/>
      <c r="F45" s="251" t="s">
        <v>26</v>
      </c>
      <c r="G45" s="248"/>
      <c r="H45" s="248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 ht="12.75" customHeight="1">
      <c r="A46" s="51"/>
      <c r="B46" s="58"/>
      <c r="C46" s="58"/>
      <c r="D46" s="58"/>
      <c r="E46" s="58"/>
      <c r="F46" s="51"/>
      <c r="G46" s="58"/>
      <c r="H46" s="58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 ht="12.75" customHeight="1">
      <c r="A47" s="255" t="s">
        <v>340</v>
      </c>
      <c r="B47" s="246" t="s">
        <v>341</v>
      </c>
      <c r="C47" s="246" t="s">
        <v>342</v>
      </c>
      <c r="D47" s="246" t="s">
        <v>343</v>
      </c>
      <c r="E47" s="248"/>
      <c r="F47" s="251" t="s">
        <v>26</v>
      </c>
      <c r="G47" s="248"/>
      <c r="H47" s="248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 ht="12.75" customHeight="1">
      <c r="A48" s="51"/>
      <c r="B48" s="58"/>
      <c r="C48" s="58"/>
      <c r="D48" s="58"/>
      <c r="E48" s="58"/>
      <c r="F48" s="51"/>
      <c r="G48" s="58"/>
      <c r="H48" s="58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 ht="12.75" customHeight="1">
      <c r="A49" s="255" t="s">
        <v>344</v>
      </c>
      <c r="B49" s="246" t="s">
        <v>345</v>
      </c>
      <c r="C49" s="246" t="s">
        <v>346</v>
      </c>
      <c r="D49" s="246" t="s">
        <v>347</v>
      </c>
      <c r="E49" s="248"/>
      <c r="F49" s="251" t="s">
        <v>26</v>
      </c>
      <c r="G49" s="248"/>
      <c r="H49" s="248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 ht="12.75" customHeight="1">
      <c r="A50" s="51"/>
      <c r="B50" s="58"/>
      <c r="C50" s="58"/>
      <c r="D50" s="58"/>
      <c r="E50" s="58"/>
      <c r="F50" s="51"/>
      <c r="G50" s="58"/>
      <c r="H50" s="58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 ht="12.75" customHeight="1">
      <c r="A51" s="255" t="s">
        <v>348</v>
      </c>
      <c r="B51" s="246" t="s">
        <v>349</v>
      </c>
      <c r="C51" s="246" t="s">
        <v>350</v>
      </c>
      <c r="D51" s="246" t="s">
        <v>351</v>
      </c>
      <c r="E51" s="248"/>
      <c r="F51" s="251" t="s">
        <v>26</v>
      </c>
      <c r="G51" s="248"/>
      <c r="H51" s="248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 ht="12.75" customHeight="1">
      <c r="A52" s="51"/>
      <c r="B52" s="58"/>
      <c r="C52" s="58"/>
      <c r="D52" s="58"/>
      <c r="E52" s="58"/>
      <c r="F52" s="51"/>
      <c r="G52" s="58"/>
      <c r="H52" s="58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 ht="12.75" customHeight="1">
      <c r="A53" s="255" t="s">
        <v>352</v>
      </c>
      <c r="B53" s="246" t="s">
        <v>353</v>
      </c>
      <c r="C53" s="246" t="s">
        <v>354</v>
      </c>
      <c r="D53" s="263" t="s">
        <v>355</v>
      </c>
      <c r="E53" s="248"/>
      <c r="F53" s="251" t="s">
        <v>26</v>
      </c>
      <c r="G53" s="248"/>
      <c r="H53" s="248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 ht="12.75" customHeight="1">
      <c r="A54" s="51"/>
      <c r="B54" s="58"/>
      <c r="C54" s="58"/>
      <c r="D54" s="58"/>
      <c r="E54" s="58"/>
      <c r="F54" s="51"/>
      <c r="G54" s="58"/>
      <c r="H54" s="58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 ht="12.75" customHeight="1">
      <c r="A55" s="268" t="s">
        <v>356</v>
      </c>
      <c r="B55" s="246" t="s">
        <v>357</v>
      </c>
      <c r="C55" s="246" t="s">
        <v>358</v>
      </c>
      <c r="D55" s="248" t="s">
        <v>359</v>
      </c>
      <c r="E55" s="248"/>
      <c r="F55" s="251" t="s">
        <v>26</v>
      </c>
      <c r="G55" s="248"/>
      <c r="H55" s="248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 ht="12.75" customHeight="1">
      <c r="A56" s="51"/>
      <c r="B56" s="58"/>
      <c r="C56" s="58"/>
      <c r="D56" s="58"/>
      <c r="E56" s="58"/>
      <c r="F56" s="51"/>
      <c r="G56" s="58"/>
      <c r="H56" s="58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 ht="12.75" customHeight="1">
      <c r="A57" s="268" t="s">
        <v>364</v>
      </c>
      <c r="B57" s="263" t="s">
        <v>365</v>
      </c>
      <c r="C57" s="246" t="s">
        <v>366</v>
      </c>
      <c r="D57" s="248" t="s">
        <v>370</v>
      </c>
      <c r="E57" s="248"/>
      <c r="F57" s="251" t="s">
        <v>26</v>
      </c>
      <c r="G57" s="248"/>
      <c r="H57" s="248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 ht="12.75" customHeight="1">
      <c r="A58" s="51"/>
      <c r="B58" s="58"/>
      <c r="C58" s="58"/>
      <c r="D58" s="58"/>
      <c r="E58" s="58"/>
      <c r="F58" s="51"/>
      <c r="G58" s="58"/>
      <c r="H58" s="58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 ht="12.75" customHeight="1">
      <c r="A59" s="268" t="s">
        <v>379</v>
      </c>
      <c r="B59" s="263" t="s">
        <v>380</v>
      </c>
      <c r="C59" s="246" t="s">
        <v>384</v>
      </c>
      <c r="D59" s="246" t="s">
        <v>386</v>
      </c>
      <c r="E59" s="248"/>
      <c r="F59" s="251" t="s">
        <v>26</v>
      </c>
      <c r="G59" s="248"/>
      <c r="H59" s="248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 ht="12.75" customHeight="1">
      <c r="A60" s="51"/>
      <c r="B60" s="58"/>
      <c r="C60" s="58"/>
      <c r="D60" s="58"/>
      <c r="E60" s="58"/>
      <c r="F60" s="51"/>
      <c r="G60" s="58"/>
      <c r="H60" s="58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 ht="12.75" customHeight="1">
      <c r="A61" s="222" t="s">
        <v>395</v>
      </c>
      <c r="B61" s="224" t="s">
        <v>396</v>
      </c>
      <c r="C61" s="224" t="s">
        <v>397</v>
      </c>
      <c r="D61" s="224" t="s">
        <v>398</v>
      </c>
      <c r="E61" s="223"/>
      <c r="F61" s="276" t="s">
        <v>26</v>
      </c>
      <c r="G61" s="223"/>
      <c r="H61" s="223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 ht="12.75" customHeight="1">
      <c r="A62" s="222" t="s">
        <v>400</v>
      </c>
      <c r="B62" s="224" t="s">
        <v>401</v>
      </c>
      <c r="C62" s="224" t="s">
        <v>402</v>
      </c>
      <c r="D62" s="224" t="s">
        <v>403</v>
      </c>
      <c r="E62" s="223"/>
      <c r="F62" s="276" t="s">
        <v>26</v>
      </c>
      <c r="G62" s="223"/>
      <c r="H62" s="223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 ht="12.75" customHeight="1">
      <c r="A63" s="222" t="s">
        <v>404</v>
      </c>
      <c r="B63" s="224" t="s">
        <v>405</v>
      </c>
      <c r="C63" s="224" t="s">
        <v>406</v>
      </c>
      <c r="D63" s="224" t="s">
        <v>407</v>
      </c>
      <c r="E63" s="223"/>
      <c r="F63" s="276" t="s">
        <v>26</v>
      </c>
      <c r="G63" s="223"/>
      <c r="H63" s="223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 ht="12.75" customHeight="1">
      <c r="A64" s="222" t="s">
        <v>411</v>
      </c>
      <c r="B64" s="224" t="s">
        <v>412</v>
      </c>
      <c r="C64" s="224" t="s">
        <v>413</v>
      </c>
      <c r="D64" s="224" t="s">
        <v>414</v>
      </c>
      <c r="E64" s="223"/>
      <c r="F64" s="276" t="s">
        <v>26</v>
      </c>
      <c r="G64" s="223"/>
      <c r="H64" s="223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 ht="12.75" customHeight="1">
      <c r="A65" s="279" t="s">
        <v>417</v>
      </c>
      <c r="B65" s="280" t="s">
        <v>421</v>
      </c>
      <c r="C65" s="280" t="s">
        <v>425</v>
      </c>
      <c r="D65" s="280" t="s">
        <v>426</v>
      </c>
      <c r="E65" s="223"/>
      <c r="F65" s="276" t="s">
        <v>26</v>
      </c>
      <c r="G65" s="223"/>
      <c r="H65" s="223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 ht="12.75" customHeight="1">
      <c r="A66" s="222" t="s">
        <v>429</v>
      </c>
      <c r="B66" s="224" t="s">
        <v>430</v>
      </c>
      <c r="C66" s="224" t="s">
        <v>431</v>
      </c>
      <c r="D66" s="224" t="s">
        <v>433</v>
      </c>
      <c r="E66" s="223"/>
      <c r="F66" s="276" t="s">
        <v>26</v>
      </c>
      <c r="G66" s="223"/>
      <c r="H66" s="223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 ht="12.75" customHeight="1">
      <c r="A67" s="222" t="s">
        <v>436</v>
      </c>
      <c r="B67" s="224" t="s">
        <v>437</v>
      </c>
      <c r="C67" s="224" t="s">
        <v>439</v>
      </c>
      <c r="D67" s="224" t="s">
        <v>442</v>
      </c>
      <c r="E67" s="223"/>
      <c r="F67" s="276" t="s">
        <v>26</v>
      </c>
      <c r="G67" s="223"/>
      <c r="H67" s="223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 ht="12.75" customHeight="1">
      <c r="A68" s="279" t="s">
        <v>447</v>
      </c>
      <c r="B68" s="280" t="s">
        <v>448</v>
      </c>
      <c r="C68" s="224" t="s">
        <v>439</v>
      </c>
      <c r="D68" s="280" t="s">
        <v>450</v>
      </c>
      <c r="E68" s="223"/>
      <c r="F68" s="276" t="s">
        <v>26</v>
      </c>
      <c r="G68" s="223"/>
      <c r="H68" s="223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 ht="12.75" customHeight="1">
      <c r="A69" s="222" t="s">
        <v>451</v>
      </c>
      <c r="B69" s="224" t="s">
        <v>452</v>
      </c>
      <c r="C69" s="224" t="s">
        <v>453</v>
      </c>
      <c r="D69" s="281" t="s">
        <v>454</v>
      </c>
      <c r="E69" s="58"/>
      <c r="F69" s="276" t="s">
        <v>26</v>
      </c>
      <c r="G69" s="223"/>
      <c r="H69" s="223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 ht="12.75" customHeight="1">
      <c r="A70" s="222" t="s">
        <v>458</v>
      </c>
      <c r="B70" s="224" t="s">
        <v>459</v>
      </c>
      <c r="C70" s="224" t="s">
        <v>460</v>
      </c>
      <c r="D70" s="224" t="s">
        <v>461</v>
      </c>
      <c r="E70" s="223"/>
      <c r="F70" s="276" t="s">
        <v>26</v>
      </c>
      <c r="G70" s="223"/>
      <c r="H70" s="223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 ht="12.75" customHeight="1">
      <c r="A71" s="222" t="s">
        <v>463</v>
      </c>
      <c r="B71" s="224" t="s">
        <v>464</v>
      </c>
      <c r="C71" s="224" t="s">
        <v>465</v>
      </c>
      <c r="D71" s="223" t="s">
        <v>467</v>
      </c>
      <c r="E71" s="223"/>
      <c r="F71" s="276" t="s">
        <v>26</v>
      </c>
      <c r="G71" s="223"/>
      <c r="H71" s="223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 ht="12.75" customHeight="1">
      <c r="A72" s="222" t="s">
        <v>468</v>
      </c>
      <c r="B72" s="224" t="s">
        <v>469</v>
      </c>
      <c r="C72" s="224" t="s">
        <v>471</v>
      </c>
      <c r="D72" s="281" t="s">
        <v>472</v>
      </c>
      <c r="E72" s="58"/>
      <c r="F72" s="276" t="s">
        <v>26</v>
      </c>
      <c r="G72" s="223"/>
      <c r="H72" s="223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 ht="12.75" customHeight="1">
      <c r="A73" s="222" t="s">
        <v>476</v>
      </c>
      <c r="B73" s="224" t="s">
        <v>477</v>
      </c>
      <c r="C73" s="224" t="s">
        <v>478</v>
      </c>
      <c r="D73" s="224" t="s">
        <v>479</v>
      </c>
      <c r="E73" s="223"/>
      <c r="F73" s="276" t="s">
        <v>26</v>
      </c>
      <c r="G73" s="223"/>
      <c r="H73" s="223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 ht="12.75" customHeight="1">
      <c r="A74" s="222" t="s">
        <v>480</v>
      </c>
      <c r="B74" s="224" t="s">
        <v>481</v>
      </c>
      <c r="C74" s="224" t="s">
        <v>482</v>
      </c>
      <c r="D74" s="223" t="s">
        <v>483</v>
      </c>
      <c r="E74" s="223"/>
      <c r="F74" s="276" t="s">
        <v>26</v>
      </c>
      <c r="G74" s="223"/>
      <c r="H74" s="223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 ht="12.75" customHeight="1">
      <c r="A75" s="222" t="s">
        <v>484</v>
      </c>
      <c r="B75" s="224" t="s">
        <v>485</v>
      </c>
      <c r="C75" s="224" t="s">
        <v>486</v>
      </c>
      <c r="D75" s="223" t="s">
        <v>487</v>
      </c>
      <c r="E75" s="223"/>
      <c r="F75" s="276" t="s">
        <v>26</v>
      </c>
      <c r="G75" s="223"/>
      <c r="H75" s="223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 ht="12.75" customHeight="1">
      <c r="A76" s="222" t="s">
        <v>488</v>
      </c>
      <c r="B76" s="224" t="s">
        <v>489</v>
      </c>
      <c r="C76" s="224" t="s">
        <v>490</v>
      </c>
      <c r="D76" s="224" t="s">
        <v>491</v>
      </c>
      <c r="E76" s="223"/>
      <c r="F76" s="276" t="s">
        <v>26</v>
      </c>
      <c r="G76" s="223"/>
      <c r="H76" s="223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 ht="12.75" customHeight="1">
      <c r="A77" s="222" t="s">
        <v>493</v>
      </c>
      <c r="B77" s="224" t="s">
        <v>495</v>
      </c>
      <c r="C77" s="224" t="s">
        <v>496</v>
      </c>
      <c r="D77" s="223" t="s">
        <v>497</v>
      </c>
      <c r="E77" s="223"/>
      <c r="F77" s="276" t="s">
        <v>26</v>
      </c>
      <c r="G77" s="223"/>
      <c r="H77" s="223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 ht="12.75" customHeight="1">
      <c r="A78" s="268" t="s">
        <v>499</v>
      </c>
      <c r="B78" s="246" t="s">
        <v>500</v>
      </c>
      <c r="C78" s="246" t="s">
        <v>501</v>
      </c>
      <c r="D78" s="246" t="s">
        <v>502</v>
      </c>
      <c r="E78" s="248"/>
      <c r="F78" s="283" t="s">
        <v>26</v>
      </c>
      <c r="G78" s="248"/>
      <c r="H78" s="248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 ht="12.75" customHeight="1">
      <c r="A79" s="51"/>
      <c r="B79" s="58"/>
      <c r="C79" s="58"/>
      <c r="D79" s="58"/>
      <c r="E79" s="58"/>
      <c r="F79" s="179"/>
      <c r="G79" s="58"/>
      <c r="H79" s="58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 ht="12.75" customHeight="1">
      <c r="A80" s="268" t="s">
        <v>513</v>
      </c>
      <c r="B80" s="246" t="s">
        <v>514</v>
      </c>
      <c r="C80" s="246" t="s">
        <v>517</v>
      </c>
      <c r="D80" s="248" t="s">
        <v>519</v>
      </c>
      <c r="E80" s="248"/>
      <c r="F80" s="283" t="s">
        <v>26</v>
      </c>
      <c r="G80" s="248"/>
      <c r="H80" s="248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 ht="12.75" customHeight="1">
      <c r="A81" s="51"/>
      <c r="B81" s="58"/>
      <c r="C81" s="58"/>
      <c r="D81" s="58"/>
      <c r="E81" s="58"/>
      <c r="F81" s="179"/>
      <c r="G81" s="58"/>
      <c r="H81" s="58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 ht="12.75" customHeight="1">
      <c r="A82" s="274"/>
      <c r="B82" s="275" t="s">
        <v>399</v>
      </c>
      <c r="C82" s="277"/>
      <c r="D82" s="278"/>
      <c r="E82" s="284"/>
      <c r="F82" s="274"/>
      <c r="G82" s="277"/>
      <c r="H82" s="278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 ht="12.75" customHeight="1">
      <c r="A83" s="222" t="s">
        <v>408</v>
      </c>
      <c r="B83" s="224" t="s">
        <v>289</v>
      </c>
      <c r="C83" s="223" t="s">
        <v>409</v>
      </c>
      <c r="D83" s="224" t="s">
        <v>410</v>
      </c>
      <c r="E83" s="223"/>
      <c r="F83" s="283" t="s">
        <v>26</v>
      </c>
      <c r="G83" s="223"/>
      <c r="H83" s="223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 ht="12.75" customHeight="1">
      <c r="A84" s="222" t="s">
        <v>415</v>
      </c>
      <c r="B84" s="224" t="s">
        <v>294</v>
      </c>
      <c r="C84" s="223" t="s">
        <v>296</v>
      </c>
      <c r="D84" s="224" t="s">
        <v>416</v>
      </c>
      <c r="E84" s="223"/>
      <c r="F84" s="283" t="s">
        <v>26</v>
      </c>
      <c r="G84" s="223"/>
      <c r="H84" s="223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 ht="12.75" customHeight="1">
      <c r="A85" s="222" t="s">
        <v>418</v>
      </c>
      <c r="B85" s="224" t="s">
        <v>298</v>
      </c>
      <c r="C85" s="223" t="s">
        <v>419</v>
      </c>
      <c r="D85" s="224" t="s">
        <v>420</v>
      </c>
      <c r="E85" s="223"/>
      <c r="F85" s="283" t="s">
        <v>26</v>
      </c>
      <c r="G85" s="223"/>
      <c r="H85" s="223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 ht="12.75" customHeight="1">
      <c r="A86" s="222" t="s">
        <v>422</v>
      </c>
      <c r="B86" s="224" t="s">
        <v>301</v>
      </c>
      <c r="C86" s="223" t="s">
        <v>423</v>
      </c>
      <c r="D86" s="224" t="s">
        <v>424</v>
      </c>
      <c r="E86" s="223"/>
      <c r="F86" s="283" t="s">
        <v>26</v>
      </c>
      <c r="G86" s="223"/>
      <c r="H86" s="223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 ht="12.75" customHeight="1">
      <c r="A87" s="222" t="s">
        <v>427</v>
      </c>
      <c r="B87" s="224" t="s">
        <v>306</v>
      </c>
      <c r="C87" s="223" t="s">
        <v>307</v>
      </c>
      <c r="D87" s="224" t="s">
        <v>428</v>
      </c>
      <c r="E87" s="223"/>
      <c r="F87" s="283" t="s">
        <v>26</v>
      </c>
      <c r="G87" s="223"/>
      <c r="H87" s="223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 ht="12.75" customHeight="1">
      <c r="A88" s="222" t="s">
        <v>432</v>
      </c>
      <c r="B88" s="224" t="s">
        <v>257</v>
      </c>
      <c r="C88" s="223" t="s">
        <v>434</v>
      </c>
      <c r="D88" s="224" t="s">
        <v>435</v>
      </c>
      <c r="E88" s="223"/>
      <c r="F88" s="283" t="s">
        <v>26</v>
      </c>
      <c r="G88" s="223"/>
      <c r="H88" s="223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 ht="12.75" customHeight="1">
      <c r="A89" s="222" t="s">
        <v>438</v>
      </c>
      <c r="B89" s="224" t="s">
        <v>440</v>
      </c>
      <c r="C89" s="223" t="s">
        <v>441</v>
      </c>
      <c r="D89" s="224" t="s">
        <v>443</v>
      </c>
      <c r="E89" s="223"/>
      <c r="F89" s="283" t="s">
        <v>26</v>
      </c>
      <c r="G89" s="223"/>
      <c r="H89" s="223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 ht="12.75" customHeight="1">
      <c r="A90" s="222" t="s">
        <v>444</v>
      </c>
      <c r="B90" s="224" t="s">
        <v>445</v>
      </c>
      <c r="C90" s="223" t="s">
        <v>446</v>
      </c>
      <c r="D90" s="224" t="s">
        <v>449</v>
      </c>
      <c r="E90" s="223"/>
      <c r="F90" s="283" t="s">
        <v>26</v>
      </c>
      <c r="G90" s="223"/>
      <c r="H90" s="223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 ht="12.75" customHeight="1">
      <c r="A91" s="222" t="s">
        <v>455</v>
      </c>
      <c r="B91" s="224" t="s">
        <v>456</v>
      </c>
      <c r="C91" s="223"/>
      <c r="D91" s="223" t="s">
        <v>214</v>
      </c>
      <c r="E91" s="223"/>
      <c r="F91" s="283" t="s">
        <v>26</v>
      </c>
      <c r="G91" s="223"/>
      <c r="H91" s="223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 ht="12.75" customHeight="1">
      <c r="A92" s="279" t="s">
        <v>558</v>
      </c>
      <c r="B92" s="224" t="s">
        <v>329</v>
      </c>
      <c r="C92" s="223"/>
      <c r="D92" s="223" t="s">
        <v>214</v>
      </c>
      <c r="E92" s="223"/>
      <c r="F92" s="283" t="s">
        <v>26</v>
      </c>
      <c r="G92" s="223"/>
      <c r="H92" s="223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 ht="12.75" customHeight="1">
      <c r="A93" s="279" t="s">
        <v>563</v>
      </c>
      <c r="B93" s="224" t="s">
        <v>327</v>
      </c>
      <c r="C93" s="223"/>
      <c r="D93" s="223" t="s">
        <v>214</v>
      </c>
      <c r="E93" s="223"/>
      <c r="F93" s="283" t="s">
        <v>26</v>
      </c>
      <c r="G93" s="223"/>
      <c r="H93" s="223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 ht="12.75" customHeight="1">
      <c r="A94" s="274"/>
      <c r="B94" s="275" t="s">
        <v>466</v>
      </c>
      <c r="C94" s="277"/>
      <c r="D94" s="278"/>
      <c r="E94" s="284"/>
      <c r="F94" s="274"/>
      <c r="G94" s="277"/>
      <c r="H94" s="278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 ht="12.75" customHeight="1">
      <c r="A95" s="255" t="s">
        <v>470</v>
      </c>
      <c r="B95" s="246" t="s">
        <v>473</v>
      </c>
      <c r="C95" s="246" t="s">
        <v>474</v>
      </c>
      <c r="D95" s="248" t="s">
        <v>475</v>
      </c>
      <c r="E95" s="248"/>
      <c r="F95" s="283" t="s">
        <v>26</v>
      </c>
      <c r="G95" s="248"/>
      <c r="H95" s="248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 ht="12.75" customHeight="1">
      <c r="A96" s="51"/>
      <c r="B96" s="58"/>
      <c r="C96" s="58"/>
      <c r="D96" s="58"/>
      <c r="E96" s="58"/>
      <c r="F96" s="179"/>
      <c r="G96" s="58"/>
      <c r="H96" s="58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 ht="12.75" customHeight="1">
      <c r="A97" s="255" t="s">
        <v>492</v>
      </c>
      <c r="B97" s="246" t="s">
        <v>337</v>
      </c>
      <c r="C97" s="246" t="s">
        <v>494</v>
      </c>
      <c r="D97" s="246" t="s">
        <v>498</v>
      </c>
      <c r="E97" s="248"/>
      <c r="F97" s="283" t="s">
        <v>26</v>
      </c>
      <c r="G97" s="263"/>
      <c r="H97" s="248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 ht="12.75" customHeight="1">
      <c r="A98" s="51"/>
      <c r="B98" s="58"/>
      <c r="C98" s="58"/>
      <c r="D98" s="58"/>
      <c r="E98" s="58"/>
      <c r="F98" s="179"/>
      <c r="G98" s="58"/>
      <c r="H98" s="58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 ht="12.75" customHeight="1">
      <c r="A99" s="222" t="s">
        <v>503</v>
      </c>
      <c r="B99" s="224" t="s">
        <v>345</v>
      </c>
      <c r="C99" s="224" t="s">
        <v>504</v>
      </c>
      <c r="D99" s="224" t="s">
        <v>347</v>
      </c>
      <c r="E99" s="223"/>
      <c r="F99" s="283" t="s">
        <v>26</v>
      </c>
      <c r="G99" s="223"/>
      <c r="H99" s="223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 ht="12.75" customHeight="1">
      <c r="A100" s="222" t="s">
        <v>505</v>
      </c>
      <c r="B100" s="224" t="s">
        <v>506</v>
      </c>
      <c r="C100" s="224" t="s">
        <v>507</v>
      </c>
      <c r="D100" s="224" t="s">
        <v>508</v>
      </c>
      <c r="E100" s="223"/>
      <c r="F100" s="283" t="s">
        <v>26</v>
      </c>
      <c r="G100" s="223"/>
      <c r="H100" s="223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 ht="12.75" customHeight="1">
      <c r="A101" s="222" t="s">
        <v>509</v>
      </c>
      <c r="B101" s="224" t="s">
        <v>353</v>
      </c>
      <c r="C101" s="224" t="s">
        <v>510</v>
      </c>
      <c r="D101" s="224" t="s">
        <v>355</v>
      </c>
      <c r="E101" s="223"/>
      <c r="F101" s="283" t="s">
        <v>26</v>
      </c>
      <c r="G101" s="223"/>
      <c r="H101" s="223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 ht="12.75" customHeight="1">
      <c r="A102" s="222" t="s">
        <v>511</v>
      </c>
      <c r="B102" s="224" t="s">
        <v>357</v>
      </c>
      <c r="C102" s="224" t="s">
        <v>512</v>
      </c>
      <c r="D102" s="223" t="s">
        <v>359</v>
      </c>
      <c r="E102" s="223"/>
      <c r="F102" s="283" t="s">
        <v>26</v>
      </c>
      <c r="G102" s="223"/>
      <c r="H102" s="223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 ht="12.75" customHeight="1">
      <c r="A103" s="222" t="s">
        <v>515</v>
      </c>
      <c r="B103" s="224" t="s">
        <v>365</v>
      </c>
      <c r="C103" s="224" t="s">
        <v>516</v>
      </c>
      <c r="D103" s="223" t="s">
        <v>518</v>
      </c>
      <c r="E103" s="223"/>
      <c r="F103" s="276" t="s">
        <v>26</v>
      </c>
      <c r="G103" s="223"/>
      <c r="H103" s="223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 ht="12.75" customHeight="1">
      <c r="A104" s="222" t="s">
        <v>520</v>
      </c>
      <c r="B104" s="224" t="s">
        <v>380</v>
      </c>
      <c r="C104" s="224" t="s">
        <v>521</v>
      </c>
      <c r="D104" s="224" t="s">
        <v>386</v>
      </c>
      <c r="E104" s="223"/>
      <c r="F104" s="283" t="s">
        <v>26</v>
      </c>
      <c r="G104" s="223"/>
      <c r="H104" s="223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 ht="12.75" customHeight="1">
      <c r="A105" s="222" t="s">
        <v>522</v>
      </c>
      <c r="B105" s="224" t="s">
        <v>401</v>
      </c>
      <c r="C105" s="224" t="s">
        <v>523</v>
      </c>
      <c r="D105" s="224" t="s">
        <v>403</v>
      </c>
      <c r="E105" s="223"/>
      <c r="F105" s="276" t="s">
        <v>26</v>
      </c>
      <c r="G105" s="223"/>
      <c r="H105" s="223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 ht="12.75" customHeight="1">
      <c r="A106" s="222" t="s">
        <v>524</v>
      </c>
      <c r="B106" s="224" t="s">
        <v>405</v>
      </c>
      <c r="C106" s="224" t="s">
        <v>525</v>
      </c>
      <c r="D106" s="224" t="s">
        <v>407</v>
      </c>
      <c r="E106" s="223"/>
      <c r="F106" s="283" t="s">
        <v>26</v>
      </c>
      <c r="G106" s="223"/>
      <c r="H106" s="223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 ht="12.75" customHeight="1">
      <c r="A107" s="222" t="s">
        <v>526</v>
      </c>
      <c r="B107" s="224" t="s">
        <v>412</v>
      </c>
      <c r="C107" s="224" t="s">
        <v>527</v>
      </c>
      <c r="D107" s="224" t="s">
        <v>414</v>
      </c>
      <c r="E107" s="223"/>
      <c r="F107" s="287" t="s">
        <v>26</v>
      </c>
      <c r="G107" s="223"/>
      <c r="H107" s="223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 ht="12.75" customHeight="1">
      <c r="A108" s="222" t="s">
        <v>528</v>
      </c>
      <c r="B108" s="224" t="s">
        <v>529</v>
      </c>
      <c r="C108" s="224" t="s">
        <v>530</v>
      </c>
      <c r="D108" s="224" t="s">
        <v>398</v>
      </c>
      <c r="E108" s="223"/>
      <c r="F108" s="283" t="s">
        <v>26</v>
      </c>
      <c r="G108" s="223"/>
      <c r="H108" s="223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 ht="12.75" customHeight="1">
      <c r="A109" s="222" t="s">
        <v>531</v>
      </c>
      <c r="B109" s="224" t="s">
        <v>421</v>
      </c>
      <c r="C109" s="224" t="s">
        <v>532</v>
      </c>
      <c r="D109" s="224" t="s">
        <v>426</v>
      </c>
      <c r="E109" s="223"/>
      <c r="F109" s="283" t="s">
        <v>26</v>
      </c>
      <c r="G109" s="223"/>
      <c r="H109" s="223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 ht="12.75" customHeight="1">
      <c r="A110" s="222" t="s">
        <v>533</v>
      </c>
      <c r="B110" s="224" t="s">
        <v>430</v>
      </c>
      <c r="C110" s="224" t="s">
        <v>534</v>
      </c>
      <c r="D110" s="224" t="s">
        <v>433</v>
      </c>
      <c r="E110" s="223"/>
      <c r="F110" s="283" t="s">
        <v>26</v>
      </c>
      <c r="G110" s="223"/>
      <c r="H110" s="223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 ht="12.75" customHeight="1">
      <c r="A111" s="222" t="s">
        <v>535</v>
      </c>
      <c r="B111" s="224" t="s">
        <v>437</v>
      </c>
      <c r="C111" s="224" t="s">
        <v>536</v>
      </c>
      <c r="D111" s="224" t="s">
        <v>442</v>
      </c>
      <c r="E111" s="223"/>
      <c r="F111" s="283" t="s">
        <v>26</v>
      </c>
      <c r="G111" s="223"/>
      <c r="H111" s="223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 ht="12.75" customHeight="1">
      <c r="A112" s="222" t="s">
        <v>537</v>
      </c>
      <c r="B112" s="224" t="s">
        <v>538</v>
      </c>
      <c r="C112" s="224" t="s">
        <v>539</v>
      </c>
      <c r="D112" s="224" t="s">
        <v>540</v>
      </c>
      <c r="E112" s="223"/>
      <c r="F112" s="283" t="s">
        <v>26</v>
      </c>
      <c r="G112" s="223"/>
      <c r="H112" s="223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 ht="12.75" customHeight="1">
      <c r="A113" s="222" t="s">
        <v>541</v>
      </c>
      <c r="B113" s="224" t="s">
        <v>542</v>
      </c>
      <c r="C113" s="224" t="s">
        <v>543</v>
      </c>
      <c r="D113" s="224" t="s">
        <v>544</v>
      </c>
      <c r="E113" s="223"/>
      <c r="F113" s="283" t="s">
        <v>26</v>
      </c>
      <c r="G113" s="223"/>
      <c r="H113" s="223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 ht="12.75" customHeight="1">
      <c r="A114" s="222" t="s">
        <v>545</v>
      </c>
      <c r="B114" s="224" t="s">
        <v>546</v>
      </c>
      <c r="C114" s="224" t="s">
        <v>547</v>
      </c>
      <c r="D114" s="224" t="s">
        <v>461</v>
      </c>
      <c r="E114" s="223"/>
      <c r="F114" s="283" t="s">
        <v>26</v>
      </c>
      <c r="G114" s="223"/>
      <c r="H114" s="223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 ht="12.75" customHeight="1">
      <c r="A115" s="222" t="s">
        <v>548</v>
      </c>
      <c r="B115" s="224" t="s">
        <v>549</v>
      </c>
      <c r="C115" s="224" t="s">
        <v>550</v>
      </c>
      <c r="D115" s="224" t="s">
        <v>551</v>
      </c>
      <c r="E115" s="223"/>
      <c r="F115" s="283" t="s">
        <v>26</v>
      </c>
      <c r="G115" s="223"/>
      <c r="H115" s="223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 ht="12.75" customHeight="1">
      <c r="A116" s="222" t="s">
        <v>552</v>
      </c>
      <c r="B116" s="224" t="s">
        <v>542</v>
      </c>
      <c r="C116" s="224" t="s">
        <v>553</v>
      </c>
      <c r="D116" s="224" t="s">
        <v>554</v>
      </c>
      <c r="E116" s="223"/>
      <c r="F116" s="283" t="s">
        <v>26</v>
      </c>
      <c r="G116" s="223"/>
      <c r="H116" s="223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 ht="12.75" customHeight="1">
      <c r="A117" s="222" t="s">
        <v>555</v>
      </c>
      <c r="B117" s="224" t="s">
        <v>556</v>
      </c>
      <c r="C117" s="224" t="s">
        <v>557</v>
      </c>
      <c r="D117" s="224" t="s">
        <v>479</v>
      </c>
      <c r="E117" s="223"/>
      <c r="F117" s="283" t="s">
        <v>26</v>
      </c>
      <c r="G117" s="223"/>
      <c r="H117" s="223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 ht="12.75" customHeight="1">
      <c r="A118" s="222" t="s">
        <v>559</v>
      </c>
      <c r="B118" s="224" t="s">
        <v>560</v>
      </c>
      <c r="C118" s="224" t="s">
        <v>561</v>
      </c>
      <c r="D118" s="224" t="s">
        <v>562</v>
      </c>
      <c r="E118" s="223"/>
      <c r="F118" s="283" t="s">
        <v>26</v>
      </c>
      <c r="G118" s="223"/>
      <c r="H118" s="223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 ht="12.75" customHeight="1">
      <c r="A119" s="222" t="s">
        <v>564</v>
      </c>
      <c r="B119" s="224" t="s">
        <v>542</v>
      </c>
      <c r="C119" s="224" t="s">
        <v>565</v>
      </c>
      <c r="D119" s="224" t="s">
        <v>566</v>
      </c>
      <c r="E119" s="223"/>
      <c r="F119" s="283" t="s">
        <v>26</v>
      </c>
      <c r="G119" s="223"/>
      <c r="H119" s="223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 ht="12.75" customHeight="1">
      <c r="A120" s="222" t="s">
        <v>567</v>
      </c>
      <c r="B120" s="224" t="s">
        <v>568</v>
      </c>
      <c r="C120" s="224" t="s">
        <v>569</v>
      </c>
      <c r="D120" s="224" t="s">
        <v>570</v>
      </c>
      <c r="E120" s="223"/>
      <c r="F120" s="283" t="s">
        <v>26</v>
      </c>
      <c r="G120" s="223"/>
      <c r="H120" s="223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 ht="12.75" customHeight="1">
      <c r="A121" s="222" t="s">
        <v>571</v>
      </c>
      <c r="B121" s="224" t="s">
        <v>572</v>
      </c>
      <c r="C121" s="224" t="s">
        <v>573</v>
      </c>
      <c r="D121" s="224" t="s">
        <v>574</v>
      </c>
      <c r="E121" s="223"/>
      <c r="F121" s="283" t="s">
        <v>26</v>
      </c>
      <c r="G121" s="223"/>
      <c r="H121" s="223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 ht="12.75" customHeight="1">
      <c r="A122" s="222" t="s">
        <v>575</v>
      </c>
      <c r="B122" s="224" t="s">
        <v>495</v>
      </c>
      <c r="C122" s="224" t="s">
        <v>576</v>
      </c>
      <c r="D122" s="288" t="s">
        <v>577</v>
      </c>
      <c r="E122" s="289"/>
      <c r="F122" s="283" t="s">
        <v>26</v>
      </c>
      <c r="G122" s="223"/>
      <c r="H122" s="223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 ht="12.75" customHeight="1">
      <c r="A123" s="222" t="s">
        <v>578</v>
      </c>
      <c r="B123" s="224" t="s">
        <v>579</v>
      </c>
      <c r="C123" s="224" t="s">
        <v>580</v>
      </c>
      <c r="D123" s="224" t="s">
        <v>502</v>
      </c>
      <c r="E123" s="223"/>
      <c r="F123" s="283" t="s">
        <v>26</v>
      </c>
      <c r="G123" s="223"/>
      <c r="H123" s="223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 ht="12.75" customHeight="1">
      <c r="A124" s="255" t="s">
        <v>581</v>
      </c>
      <c r="B124" s="246" t="s">
        <v>582</v>
      </c>
      <c r="C124" s="246" t="s">
        <v>583</v>
      </c>
      <c r="D124" s="246" t="s">
        <v>519</v>
      </c>
      <c r="E124" s="248"/>
      <c r="F124" s="283" t="s">
        <v>26</v>
      </c>
      <c r="G124" s="248"/>
      <c r="H124" s="248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 ht="12.75" customHeight="1">
      <c r="A125" s="51"/>
      <c r="B125" s="58"/>
      <c r="C125" s="58"/>
      <c r="D125" s="58"/>
      <c r="E125" s="58"/>
      <c r="F125" s="179"/>
      <c r="G125" s="58"/>
      <c r="H125" s="58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 ht="12.75" customHeight="1">
      <c r="A126" s="274"/>
      <c r="B126" s="290" t="s">
        <v>584</v>
      </c>
      <c r="C126" s="277"/>
      <c r="D126" s="278"/>
      <c r="E126" s="284"/>
      <c r="F126" s="274"/>
      <c r="G126" s="277"/>
      <c r="H126" s="278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 ht="12.75" customHeight="1">
      <c r="A127" s="222" t="s">
        <v>585</v>
      </c>
      <c r="B127" s="223" t="s">
        <v>586</v>
      </c>
      <c r="C127" s="223"/>
      <c r="D127" s="223" t="s">
        <v>214</v>
      </c>
      <c r="E127" s="223"/>
      <c r="F127" s="222"/>
      <c r="G127" s="223"/>
      <c r="H127" s="223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 ht="12.75" customHeight="1">
      <c r="A128" s="222" t="s">
        <v>587</v>
      </c>
      <c r="B128" s="223" t="s">
        <v>588</v>
      </c>
      <c r="C128" s="223"/>
      <c r="D128" s="223" t="s">
        <v>214</v>
      </c>
      <c r="E128" s="223"/>
      <c r="F128" s="222"/>
      <c r="G128" s="223"/>
      <c r="H128" s="223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 ht="12.75" customHeight="1">
      <c r="A129" s="274"/>
      <c r="B129" s="290" t="s">
        <v>589</v>
      </c>
      <c r="C129" s="277"/>
      <c r="D129" s="278"/>
      <c r="E129" s="284"/>
      <c r="F129" s="274"/>
      <c r="G129" s="277"/>
      <c r="H129" s="278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 ht="12.75" customHeight="1">
      <c r="A130" s="268" t="s">
        <v>590</v>
      </c>
      <c r="B130" s="248" t="s">
        <v>591</v>
      </c>
      <c r="C130" s="291" t="s">
        <v>592</v>
      </c>
      <c r="D130" s="248" t="s">
        <v>593</v>
      </c>
      <c r="E130" s="248"/>
      <c r="F130" s="283" t="s">
        <v>26</v>
      </c>
      <c r="G130" s="248"/>
      <c r="H130" s="248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 ht="12.75" customHeight="1">
      <c r="A131" s="51"/>
      <c r="B131" s="58"/>
      <c r="C131" s="58"/>
      <c r="D131" s="58"/>
      <c r="E131" s="58"/>
      <c r="F131" s="179"/>
      <c r="G131" s="58"/>
      <c r="H131" s="58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 ht="12.75" customHeight="1">
      <c r="A132" s="255" t="s">
        <v>594</v>
      </c>
      <c r="B132" s="248" t="s">
        <v>595</v>
      </c>
      <c r="C132" s="246" t="s">
        <v>596</v>
      </c>
      <c r="D132" s="248" t="s">
        <v>597</v>
      </c>
      <c r="E132" s="248"/>
      <c r="F132" s="255"/>
      <c r="G132" s="292"/>
      <c r="H132" s="282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 ht="12.75" customHeight="1">
      <c r="A133" s="51"/>
      <c r="B133" s="58"/>
      <c r="C133" s="58"/>
      <c r="D133" s="58"/>
      <c r="E133" s="58"/>
      <c r="F133" s="51"/>
      <c r="G133" s="56"/>
      <c r="H133" s="58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 ht="12.75" customHeight="1">
      <c r="A134" s="222" t="s">
        <v>598</v>
      </c>
      <c r="B134" s="223" t="s">
        <v>599</v>
      </c>
      <c r="C134" s="224" t="s">
        <v>600</v>
      </c>
      <c r="D134" s="223" t="s">
        <v>601</v>
      </c>
      <c r="E134" s="223"/>
      <c r="F134" s="283" t="s">
        <v>26</v>
      </c>
      <c r="G134" s="223"/>
      <c r="H134" s="223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 ht="12.75" customHeight="1">
      <c r="A135" s="268" t="s">
        <v>602</v>
      </c>
      <c r="B135" s="248" t="s">
        <v>603</v>
      </c>
      <c r="C135" s="246" t="s">
        <v>604</v>
      </c>
      <c r="D135" s="248" t="s">
        <v>519</v>
      </c>
      <c r="E135" s="248"/>
      <c r="F135" s="283" t="s">
        <v>26</v>
      </c>
      <c r="G135" s="248"/>
      <c r="H135" s="248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 ht="12.75" customHeight="1">
      <c r="A136" s="51"/>
      <c r="B136" s="58"/>
      <c r="C136" s="58"/>
      <c r="D136" s="58"/>
      <c r="E136" s="58"/>
      <c r="F136" s="179"/>
      <c r="G136" s="58"/>
      <c r="H136" s="58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 ht="12.75" customHeight="1">
      <c r="A137" s="274"/>
      <c r="B137" s="293" t="s">
        <v>605</v>
      </c>
      <c r="C137" s="277"/>
      <c r="D137" s="278"/>
      <c r="E137" s="284"/>
      <c r="F137" s="294"/>
      <c r="G137" s="295"/>
      <c r="H137" s="295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 ht="12.75" customHeight="1">
      <c r="A138" s="274"/>
      <c r="B138" s="293" t="s">
        <v>606</v>
      </c>
      <c r="C138" s="277"/>
      <c r="D138" s="278"/>
      <c r="E138" s="284"/>
      <c r="F138" s="51"/>
      <c r="G138" s="295"/>
      <c r="H138" s="295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 ht="12.75" customHeight="1">
      <c r="A139" s="255" t="s">
        <v>607</v>
      </c>
      <c r="B139" s="248" t="s">
        <v>180</v>
      </c>
      <c r="C139" s="223" t="s">
        <v>608</v>
      </c>
      <c r="D139" s="296" t="s">
        <v>609</v>
      </c>
      <c r="E139" s="153"/>
      <c r="F139" s="283" t="s">
        <v>26</v>
      </c>
      <c r="G139" s="295"/>
      <c r="H139" s="295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 ht="12.75" customHeight="1">
      <c r="A140" s="179"/>
      <c r="B140" s="282"/>
      <c r="C140" s="223" t="s">
        <v>610</v>
      </c>
      <c r="D140" s="296" t="s">
        <v>611</v>
      </c>
      <c r="E140" s="153"/>
      <c r="F140" s="283" t="s">
        <v>26</v>
      </c>
      <c r="G140" s="295"/>
      <c r="H140" s="295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 ht="12.75" customHeight="1">
      <c r="A141" s="179"/>
      <c r="B141" s="282"/>
      <c r="C141" s="223" t="s">
        <v>612</v>
      </c>
      <c r="D141" s="296" t="s">
        <v>613</v>
      </c>
      <c r="E141" s="153"/>
      <c r="F141" s="283" t="s">
        <v>26</v>
      </c>
      <c r="G141" s="295"/>
      <c r="H141" s="295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 ht="12.75" customHeight="1">
      <c r="A142" s="179"/>
      <c r="B142" s="282"/>
      <c r="C142" s="223" t="s">
        <v>614</v>
      </c>
      <c r="D142" s="296" t="s">
        <v>615</v>
      </c>
      <c r="E142" s="153"/>
      <c r="F142" s="283" t="s">
        <v>26</v>
      </c>
      <c r="G142" s="295"/>
      <c r="H142" s="295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 ht="12.75" customHeight="1">
      <c r="A143" s="179"/>
      <c r="B143" s="282"/>
      <c r="C143" s="223" t="s">
        <v>616</v>
      </c>
      <c r="D143" s="296" t="s">
        <v>617</v>
      </c>
      <c r="E143" s="153"/>
      <c r="F143" s="283" t="s">
        <v>26</v>
      </c>
      <c r="G143" s="295"/>
      <c r="H143" s="295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 ht="12.75" customHeight="1">
      <c r="A144" s="179"/>
      <c r="B144" s="282"/>
      <c r="C144" s="223" t="s">
        <v>618</v>
      </c>
      <c r="D144" s="296" t="s">
        <v>619</v>
      </c>
      <c r="E144" s="153"/>
      <c r="F144" s="283" t="s">
        <v>26</v>
      </c>
      <c r="G144" s="295"/>
      <c r="H144" s="295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 ht="12.75" customHeight="1">
      <c r="A145" s="51"/>
      <c r="B145" s="58"/>
      <c r="C145" s="223" t="s">
        <v>620</v>
      </c>
      <c r="D145" s="296" t="s">
        <v>621</v>
      </c>
      <c r="E145" s="153"/>
      <c r="F145" s="283" t="s">
        <v>26</v>
      </c>
      <c r="G145" s="295"/>
      <c r="H145" s="295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 ht="12.75" customHeight="1">
      <c r="A146" s="222" t="s">
        <v>622</v>
      </c>
      <c r="B146" s="223" t="s">
        <v>586</v>
      </c>
      <c r="C146" s="223"/>
      <c r="D146" s="223" t="s">
        <v>214</v>
      </c>
      <c r="E146" s="223"/>
      <c r="F146" s="283" t="s">
        <v>26</v>
      </c>
      <c r="G146" s="295"/>
      <c r="H146" s="295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 ht="12.75" customHeight="1">
      <c r="A147" s="222" t="s">
        <v>623</v>
      </c>
      <c r="B147" s="223" t="s">
        <v>588</v>
      </c>
      <c r="C147" s="223"/>
      <c r="D147" s="223" t="s">
        <v>214</v>
      </c>
      <c r="E147" s="223"/>
      <c r="F147" s="283" t="s">
        <v>26</v>
      </c>
      <c r="G147" s="295"/>
      <c r="H147" s="295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 ht="12.75" customHeight="1">
      <c r="A148" s="274"/>
      <c r="B148" s="293" t="s">
        <v>624</v>
      </c>
      <c r="C148" s="277"/>
      <c r="D148" s="278"/>
      <c r="E148" s="284"/>
      <c r="F148" s="274"/>
      <c r="G148" s="277"/>
      <c r="H148" s="278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 ht="12.75" customHeight="1">
      <c r="A149" s="222" t="s">
        <v>625</v>
      </c>
      <c r="B149" s="223" t="s">
        <v>626</v>
      </c>
      <c r="C149" s="223" t="s">
        <v>627</v>
      </c>
      <c r="D149" s="223" t="s">
        <v>628</v>
      </c>
      <c r="E149" s="223"/>
      <c r="F149" s="283" t="s">
        <v>26</v>
      </c>
      <c r="G149" s="295"/>
      <c r="H149" s="295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 ht="12.75" customHeight="1">
      <c r="A150" s="222" t="s">
        <v>629</v>
      </c>
      <c r="B150" s="223" t="s">
        <v>630</v>
      </c>
      <c r="C150" s="223" t="s">
        <v>631</v>
      </c>
      <c r="D150" s="223" t="s">
        <v>632</v>
      </c>
      <c r="E150" s="223"/>
      <c r="F150" s="283" t="s">
        <v>26</v>
      </c>
      <c r="G150" s="295"/>
      <c r="H150" s="295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 ht="12.75" customHeight="1">
      <c r="A151" s="222" t="s">
        <v>633</v>
      </c>
      <c r="B151" s="223" t="s">
        <v>634</v>
      </c>
      <c r="C151" s="223" t="s">
        <v>635</v>
      </c>
      <c r="D151" s="223" t="s">
        <v>636</v>
      </c>
      <c r="E151" s="223"/>
      <c r="F151" s="287" t="s">
        <v>26</v>
      </c>
      <c r="G151" s="295"/>
      <c r="H151" s="295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 ht="12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 ht="12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 ht="12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 ht="12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 ht="12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 ht="12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 ht="12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 ht="12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 ht="12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 ht="12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 ht="12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 ht="12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 ht="12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 ht="12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 ht="12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 ht="12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 ht="12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 ht="12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 ht="12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 ht="12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 ht="12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 ht="12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 ht="12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 ht="12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 ht="12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 ht="12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 ht="12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 ht="12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 ht="12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 ht="12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 ht="12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 ht="12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 ht="12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 ht="12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 ht="12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 ht="12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 ht="12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 ht="12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 ht="12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 ht="12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 ht="12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 ht="12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 ht="12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 ht="12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 ht="12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 ht="12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 ht="12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 ht="12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 ht="12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 ht="12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 ht="12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 ht="12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 ht="12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 ht="12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 ht="12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 ht="12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 ht="12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 ht="12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 ht="12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 ht="12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 ht="12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 ht="12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 ht="12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 ht="12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 ht="12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 ht="12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 ht="12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 ht="12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 ht="12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 ht="12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</row>
    <row r="222" ht="12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 ht="12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 ht="12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</row>
    <row r="225" ht="12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</row>
    <row r="226" ht="12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</row>
    <row r="227" ht="12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</row>
    <row r="228" ht="12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</row>
    <row r="229" ht="12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</row>
    <row r="230" ht="12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</row>
    <row r="231" ht="12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</row>
    <row r="232" ht="12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</row>
    <row r="233" ht="12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</row>
    <row r="234" ht="12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 ht="12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</row>
    <row r="236" ht="12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</row>
    <row r="237" ht="12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</row>
    <row r="238" ht="12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</row>
    <row r="239" ht="12.75" customHeight="1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</row>
    <row r="240" ht="12.75" customHeight="1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 ht="12.75" customHeight="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 ht="12.75" customHeight="1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</row>
    <row r="243" ht="12.75" customHeight="1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</row>
    <row r="244" ht="12.75" customHeight="1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</row>
    <row r="245" ht="12.75" customHeight="1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</row>
    <row r="246" ht="12.75" customHeight="1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</row>
    <row r="247" ht="12.75" customHeight="1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</row>
    <row r="248" ht="12.75" customHeight="1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</row>
    <row r="249" ht="12.75" customHeight="1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</row>
    <row r="250" ht="12.75" customHeight="1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</row>
    <row r="251" ht="12.75" customHeight="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</row>
    <row r="252" ht="12.75" customHeight="1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</row>
    <row r="253" ht="12.75" customHeight="1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</row>
    <row r="254" ht="12.75" customHeight="1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</row>
    <row r="255" ht="12.75" customHeight="1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</row>
    <row r="256" ht="12.75" customHeight="1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</row>
    <row r="257" ht="12.75" customHeight="1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</row>
    <row r="258" ht="12.75" customHeight="1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</row>
    <row r="259" ht="12.75" customHeight="1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</row>
    <row r="260" ht="12.75" customHeight="1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</row>
    <row r="261" ht="12.75" customHeight="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</row>
    <row r="262" ht="12.75" customHeight="1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</row>
    <row r="263" ht="12.75" customHeight="1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</row>
    <row r="264" ht="12.75" customHeight="1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</row>
    <row r="265" ht="12.75" customHeight="1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</row>
    <row r="266" ht="12.75" customHeight="1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</row>
    <row r="267" ht="12.75" customHeight="1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</row>
    <row r="268" ht="12.75" customHeight="1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</row>
    <row r="269" ht="12.75" customHeight="1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</row>
    <row r="270" ht="12.75" customHeight="1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</row>
    <row r="271" ht="12.75" customHeight="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</row>
    <row r="272" ht="12.75" customHeight="1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</row>
    <row r="273" ht="12.75" customHeight="1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</row>
    <row r="274" ht="12.75" customHeight="1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</row>
    <row r="275" ht="12.75" customHeight="1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</row>
    <row r="276" ht="12.75" customHeight="1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</row>
    <row r="277" ht="12.75" customHeight="1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</row>
    <row r="278" ht="12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</row>
    <row r="279" ht="12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</row>
    <row r="280" ht="12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</row>
    <row r="281" ht="12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</row>
    <row r="282" ht="12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</row>
    <row r="283" ht="12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</row>
    <row r="284" ht="12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</row>
    <row r="285" ht="12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</row>
    <row r="286" ht="12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</row>
    <row r="287" ht="12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</row>
    <row r="288" ht="12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</row>
    <row r="289" ht="12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</row>
    <row r="290" ht="12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</row>
    <row r="291" ht="12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</row>
    <row r="292" ht="12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</row>
    <row r="293" ht="12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</row>
    <row r="294" ht="12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</row>
    <row r="295" ht="12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</row>
    <row r="296" ht="12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</row>
    <row r="297" ht="12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</row>
    <row r="298" ht="12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</row>
    <row r="299" ht="12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</row>
    <row r="300" ht="12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</row>
    <row r="301" ht="12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</row>
    <row r="302" ht="12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</row>
    <row r="303" ht="12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</row>
    <row r="304" ht="12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</row>
    <row r="305" ht="12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</row>
    <row r="306" ht="12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</row>
    <row r="307" ht="12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</row>
    <row r="308" ht="12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</row>
    <row r="309" ht="12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</row>
    <row r="310" ht="12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</row>
    <row r="311" ht="12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</row>
    <row r="312" ht="12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</row>
    <row r="313" ht="12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</row>
    <row r="314" ht="12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</row>
    <row r="315" ht="12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</row>
    <row r="316" ht="12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</row>
    <row r="317" ht="12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</row>
    <row r="318" ht="12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</row>
    <row r="319" ht="12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</row>
    <row r="320" ht="12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</row>
    <row r="321" ht="12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</row>
    <row r="322" ht="12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</row>
    <row r="323" ht="12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</row>
    <row r="324" ht="12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</row>
    <row r="325" ht="12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</row>
    <row r="326" ht="12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</row>
    <row r="327" ht="12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</row>
    <row r="328" ht="12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</row>
    <row r="329" ht="12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</row>
    <row r="330" ht="12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</row>
    <row r="331" ht="12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</row>
    <row r="332" ht="12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</row>
    <row r="333" ht="12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</row>
    <row r="334" ht="12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</row>
    <row r="335" ht="12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</row>
    <row r="336" ht="12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</row>
    <row r="337" ht="12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</row>
    <row r="338" ht="12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</row>
    <row r="339" ht="12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</row>
    <row r="340" ht="12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</row>
    <row r="341" ht="12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</row>
    <row r="342" ht="12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</row>
    <row r="343" ht="12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</row>
    <row r="344" ht="12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</row>
    <row r="345" ht="12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</row>
    <row r="346" ht="12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</row>
    <row r="347" ht="12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</row>
    <row r="348" ht="12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</row>
    <row r="349" ht="12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</row>
    <row r="350" ht="12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</row>
    <row r="351" ht="12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</row>
    <row r="352" ht="12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</row>
    <row r="353" ht="12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</row>
    <row r="354" ht="12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</row>
    <row r="355" ht="12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</row>
    <row r="356" ht="12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</row>
    <row r="357" ht="12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</row>
    <row r="358" ht="12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</row>
    <row r="359" ht="12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</row>
    <row r="360" ht="12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</row>
    <row r="361" ht="12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</row>
    <row r="362" ht="12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</row>
    <row r="363" ht="12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</row>
    <row r="364" ht="12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</row>
    <row r="365" ht="12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</row>
    <row r="366" ht="12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</row>
    <row r="367" ht="12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</row>
    <row r="368" ht="12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</row>
    <row r="369" ht="12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</row>
    <row r="370" ht="12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</row>
    <row r="371" ht="12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</row>
    <row r="372" ht="12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</row>
    <row r="373" ht="12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</row>
    <row r="374" ht="12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</row>
    <row r="375" ht="12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</row>
    <row r="376" ht="12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</row>
    <row r="377" ht="12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</row>
    <row r="378" ht="12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</row>
    <row r="379" ht="12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</row>
    <row r="380" ht="12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</row>
    <row r="381" ht="12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</row>
    <row r="382" ht="12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</row>
    <row r="383" ht="12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</row>
    <row r="384" ht="12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</row>
    <row r="385" ht="12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</row>
    <row r="386" ht="12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</row>
    <row r="387" ht="12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</row>
    <row r="388" ht="12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</row>
    <row r="389" ht="12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</row>
    <row r="390" ht="12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</row>
    <row r="391" ht="12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</row>
    <row r="392" ht="12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</row>
    <row r="393" ht="12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</row>
    <row r="394" ht="12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</row>
    <row r="395" ht="12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</row>
    <row r="396" ht="12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</row>
    <row r="397" ht="12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</row>
    <row r="398" ht="12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</row>
    <row r="399" ht="12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</row>
    <row r="400" ht="12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</row>
    <row r="401" ht="12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</row>
    <row r="402" ht="12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</row>
    <row r="403" ht="12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</row>
    <row r="404" ht="12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</row>
    <row r="405" ht="12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</row>
    <row r="406" ht="12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</row>
    <row r="407" ht="12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</row>
    <row r="408" ht="12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</row>
    <row r="409" ht="12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</row>
    <row r="410" ht="12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</row>
    <row r="411" ht="12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</row>
    <row r="412" ht="12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</row>
    <row r="413" ht="12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</row>
    <row r="414" ht="12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</row>
    <row r="415" ht="12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</row>
    <row r="416" ht="12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</row>
    <row r="417" ht="12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</row>
    <row r="418" ht="12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</row>
    <row r="419" ht="12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</row>
    <row r="420" ht="12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</row>
    <row r="421" ht="12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</row>
    <row r="422" ht="12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</row>
    <row r="423" ht="12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</row>
    <row r="424" ht="12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</row>
    <row r="425" ht="12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</row>
    <row r="426" ht="12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</row>
    <row r="427" ht="12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</row>
    <row r="428" ht="12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</row>
    <row r="429" ht="12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</row>
    <row r="430" ht="12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</row>
    <row r="431" ht="12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</row>
    <row r="432" ht="12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</row>
    <row r="433" ht="12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</row>
    <row r="434" ht="12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</row>
    <row r="435" ht="12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</row>
    <row r="436" ht="12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</row>
    <row r="437" ht="12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</row>
    <row r="438" ht="12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</row>
    <row r="439" ht="12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</row>
    <row r="440" ht="12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</row>
    <row r="441" ht="12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</row>
    <row r="442" ht="12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</row>
    <row r="443" ht="12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</row>
    <row r="444" ht="12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</row>
    <row r="445" ht="12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</row>
    <row r="446" ht="12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</row>
    <row r="447" ht="12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</row>
    <row r="448" ht="12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</row>
    <row r="449" ht="12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</row>
    <row r="450" ht="12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</row>
    <row r="451" ht="12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</row>
    <row r="452" ht="12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</row>
    <row r="453" ht="12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</row>
    <row r="454" ht="12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</row>
    <row r="455" ht="12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</row>
    <row r="456" ht="12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</row>
    <row r="457" ht="12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</row>
    <row r="458" ht="12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</row>
    <row r="459" ht="12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</row>
    <row r="460" ht="12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</row>
    <row r="461" ht="12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</row>
    <row r="462" ht="12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</row>
    <row r="463" ht="12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</row>
    <row r="464" ht="12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</row>
    <row r="465" ht="12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</row>
    <row r="466" ht="12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</row>
    <row r="467" ht="12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</row>
    <row r="468" ht="12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</row>
    <row r="469" ht="12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</row>
    <row r="470" ht="12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</row>
    <row r="471" ht="12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</row>
    <row r="472" ht="12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</row>
    <row r="473" ht="12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</row>
    <row r="474" ht="12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</row>
    <row r="475" ht="12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</row>
    <row r="476" ht="12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</row>
    <row r="477" ht="12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</row>
    <row r="478" ht="12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</row>
    <row r="479" ht="12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</row>
    <row r="480" ht="12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</row>
    <row r="481" ht="12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</row>
    <row r="482" ht="12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</row>
    <row r="483" ht="12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</row>
    <row r="484" ht="12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</row>
    <row r="485" ht="12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</row>
    <row r="486" ht="12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</row>
    <row r="487" ht="12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</row>
    <row r="488" ht="12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</row>
    <row r="489" ht="12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</row>
    <row r="490" ht="12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</row>
    <row r="491" ht="12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</row>
    <row r="492" ht="12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</row>
    <row r="493" ht="12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</row>
    <row r="494" ht="12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</row>
    <row r="495" ht="12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</row>
    <row r="496" ht="12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</row>
    <row r="497" ht="12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</row>
    <row r="498" ht="12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</row>
    <row r="499" ht="12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</row>
    <row r="500" ht="12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</row>
    <row r="501" ht="12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</row>
    <row r="502" ht="12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</row>
    <row r="503" ht="12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</row>
    <row r="504" ht="12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</row>
    <row r="505" ht="12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</row>
    <row r="506" ht="12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</row>
    <row r="507" ht="12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</row>
    <row r="508" ht="12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</row>
    <row r="509" ht="12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</row>
    <row r="510" ht="12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</row>
    <row r="511" ht="12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</row>
    <row r="512" ht="12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</row>
    <row r="513" ht="12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</row>
    <row r="514" ht="12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</row>
    <row r="515" ht="12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</row>
    <row r="516" ht="12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</row>
    <row r="517" ht="12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</row>
    <row r="518" ht="12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</row>
    <row r="519" ht="12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</row>
    <row r="520" ht="12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</row>
    <row r="521" ht="12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</row>
    <row r="522" ht="12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</row>
    <row r="523" ht="12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</row>
    <row r="524" ht="12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</row>
    <row r="525" ht="12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</row>
    <row r="526" ht="12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</row>
    <row r="527" ht="12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</row>
    <row r="528" ht="12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</row>
    <row r="529" ht="12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</row>
    <row r="530" ht="12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</row>
    <row r="531" ht="12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</row>
    <row r="532" ht="12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</row>
    <row r="533" ht="12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</row>
    <row r="534" ht="12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</row>
    <row r="535" ht="12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</row>
    <row r="536" ht="12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</row>
    <row r="537" ht="12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</row>
    <row r="538" ht="12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</row>
    <row r="539" ht="12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</row>
    <row r="540" ht="12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</row>
    <row r="541" ht="12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</row>
    <row r="542" ht="12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</row>
    <row r="543" ht="12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</row>
    <row r="544" ht="12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</row>
    <row r="545" ht="12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</row>
    <row r="546" ht="12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</row>
    <row r="547" ht="12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</row>
    <row r="548" ht="12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</row>
    <row r="549" ht="12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</row>
    <row r="550" ht="12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</row>
    <row r="551" ht="12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</row>
    <row r="552" ht="12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</row>
    <row r="553" ht="12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</row>
    <row r="554" ht="12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</row>
    <row r="555" ht="12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</row>
    <row r="556" ht="12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</row>
    <row r="557" ht="12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</row>
    <row r="558" ht="12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</row>
    <row r="559" ht="12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</row>
    <row r="560" ht="12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</row>
    <row r="561" ht="12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</row>
    <row r="562" ht="12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</row>
    <row r="563" ht="12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</row>
    <row r="564" ht="12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</row>
    <row r="565" ht="12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</row>
    <row r="566" ht="12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</row>
    <row r="567" ht="12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</row>
    <row r="568" ht="12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</row>
    <row r="569" ht="12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</row>
    <row r="570" ht="12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</row>
    <row r="571" ht="12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</row>
    <row r="572" ht="12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</row>
    <row r="573" ht="12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</row>
    <row r="574" ht="12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</row>
    <row r="575" ht="12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</row>
    <row r="576" ht="12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</row>
    <row r="577" ht="12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</row>
    <row r="578" ht="12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</row>
    <row r="579" ht="12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</row>
    <row r="580" ht="12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</row>
    <row r="581" ht="12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</row>
    <row r="582" ht="12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</row>
    <row r="583" ht="12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</row>
    <row r="584" ht="12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</row>
    <row r="585" ht="12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</row>
    <row r="586" ht="12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</row>
    <row r="587" ht="12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</row>
    <row r="588" ht="12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</row>
    <row r="589" ht="12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</row>
    <row r="590" ht="12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</row>
    <row r="591" ht="12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</row>
    <row r="592" ht="12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</row>
    <row r="593" ht="12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</row>
    <row r="594" ht="12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</row>
    <row r="595" ht="12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</row>
    <row r="596" ht="12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</row>
    <row r="597" ht="12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</row>
    <row r="598" ht="12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</row>
    <row r="599" ht="12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</row>
    <row r="600" ht="12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</row>
    <row r="601" ht="12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</row>
    <row r="602" ht="12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</row>
    <row r="603" ht="12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</row>
    <row r="604" ht="12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</row>
    <row r="605" ht="12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</row>
    <row r="606" ht="12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</row>
    <row r="607" ht="12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</row>
    <row r="608" ht="12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</row>
    <row r="609" ht="12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</row>
    <row r="610" ht="12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</row>
    <row r="611" ht="12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</row>
    <row r="612" ht="12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</row>
    <row r="613" ht="12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</row>
    <row r="614" ht="12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</row>
    <row r="615" ht="12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</row>
    <row r="616" ht="12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</row>
    <row r="617" ht="12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</row>
    <row r="618" ht="12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</row>
    <row r="619" ht="12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</row>
    <row r="620" ht="12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</row>
    <row r="621" ht="12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</row>
    <row r="622" ht="12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</row>
    <row r="623" ht="12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</row>
    <row r="624" ht="12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</row>
    <row r="625" ht="12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</row>
    <row r="626" ht="12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</row>
    <row r="627" ht="12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</row>
    <row r="628" ht="12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</row>
    <row r="629" ht="12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</row>
    <row r="630" ht="12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</row>
    <row r="631" ht="12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</row>
    <row r="632" ht="12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</row>
    <row r="633" ht="12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</row>
    <row r="634" ht="12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</row>
    <row r="635" ht="12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</row>
    <row r="636" ht="12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</row>
    <row r="637" ht="12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</row>
    <row r="638" ht="12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</row>
    <row r="639" ht="12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</row>
    <row r="640" ht="12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</row>
    <row r="641" ht="12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</row>
    <row r="642" ht="12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</row>
    <row r="643" ht="12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</row>
    <row r="644" ht="12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</row>
    <row r="645" ht="12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</row>
    <row r="646" ht="12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</row>
    <row r="647" ht="12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</row>
    <row r="648" ht="12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</row>
    <row r="649" ht="12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</row>
    <row r="650" ht="12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</row>
    <row r="651" ht="12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</row>
    <row r="652" ht="12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</row>
    <row r="653" ht="12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</row>
    <row r="654" ht="12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</row>
    <row r="655" ht="12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</row>
    <row r="656" ht="12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</row>
    <row r="657" ht="12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</row>
    <row r="658" ht="12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</row>
    <row r="659" ht="12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</row>
    <row r="660" ht="12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</row>
    <row r="661" ht="12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</row>
    <row r="662" ht="12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</row>
    <row r="663" ht="12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</row>
    <row r="664" ht="12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</row>
    <row r="665" ht="12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</row>
    <row r="666" ht="12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</row>
    <row r="667" ht="12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</row>
    <row r="668" ht="12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</row>
    <row r="669" ht="12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</row>
    <row r="670" ht="12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</row>
    <row r="671" ht="12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</row>
    <row r="672" ht="12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</row>
    <row r="673" ht="12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</row>
    <row r="674" ht="12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</row>
    <row r="675" ht="12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</row>
    <row r="676" ht="12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</row>
    <row r="677" ht="12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</row>
    <row r="678" ht="12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</row>
    <row r="679" ht="12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</row>
    <row r="680" ht="12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</row>
    <row r="681" ht="12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</row>
    <row r="682" ht="12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</row>
    <row r="683" ht="12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</row>
    <row r="684" ht="12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</row>
    <row r="685" ht="12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</row>
    <row r="686" ht="12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</row>
    <row r="687" ht="12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</row>
    <row r="688" ht="12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</row>
    <row r="689" ht="12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</row>
    <row r="690" ht="12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</row>
    <row r="691" ht="12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</row>
    <row r="692" ht="12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</row>
    <row r="693" ht="12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</row>
    <row r="694" ht="12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</row>
    <row r="695" ht="12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</row>
    <row r="696" ht="12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</row>
    <row r="697" ht="12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</row>
    <row r="698" ht="12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</row>
    <row r="699" ht="12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</row>
    <row r="700" ht="12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</row>
    <row r="701" ht="12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</row>
    <row r="702" ht="12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</row>
    <row r="703" ht="12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</row>
    <row r="704" ht="12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</row>
    <row r="705" ht="12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</row>
    <row r="706" ht="12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</row>
    <row r="707" ht="12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</row>
    <row r="708" ht="12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</row>
    <row r="709" ht="12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</row>
    <row r="710" ht="12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</row>
    <row r="711" ht="12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</row>
    <row r="712" ht="12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</row>
    <row r="713" ht="12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</row>
    <row r="714" ht="12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</row>
    <row r="715" ht="12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</row>
    <row r="716" ht="12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</row>
    <row r="717" ht="12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</row>
    <row r="718" ht="12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</row>
    <row r="719" ht="12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</row>
    <row r="720" ht="12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</row>
    <row r="721" ht="12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</row>
    <row r="722" ht="12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</row>
    <row r="723" ht="12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</row>
    <row r="724" ht="12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</row>
    <row r="725" ht="12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</row>
    <row r="726" ht="12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</row>
    <row r="727" ht="12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</row>
    <row r="728" ht="12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</row>
    <row r="729" ht="12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</row>
    <row r="730" ht="12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</row>
    <row r="731" ht="12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</row>
    <row r="732" ht="12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</row>
    <row r="733" ht="12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</row>
    <row r="734" ht="12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</row>
    <row r="735" ht="12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</row>
    <row r="736" ht="12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</row>
    <row r="737" ht="12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</row>
    <row r="738" ht="12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</row>
    <row r="739" ht="12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</row>
    <row r="740" ht="12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</row>
    <row r="741" ht="12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</row>
    <row r="742" ht="12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</row>
    <row r="743" ht="12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</row>
    <row r="744" ht="12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</row>
    <row r="745" ht="12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</row>
    <row r="746" ht="12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</row>
    <row r="747" ht="12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</row>
    <row r="748" ht="12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</row>
    <row r="749" ht="12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</row>
    <row r="750" ht="12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</row>
    <row r="751" ht="12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</row>
    <row r="752" ht="12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</row>
    <row r="753" ht="12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</row>
    <row r="754" ht="12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</row>
    <row r="755" ht="12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</row>
    <row r="756" ht="12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</row>
    <row r="757" ht="12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</row>
    <row r="758" ht="12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</row>
    <row r="759" ht="12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</row>
    <row r="760" ht="12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</row>
    <row r="761" ht="12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</row>
    <row r="762" ht="12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</row>
    <row r="763" ht="12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</row>
    <row r="764" ht="12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</row>
    <row r="765" ht="12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</row>
    <row r="766" ht="12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</row>
    <row r="767" ht="12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</row>
    <row r="768" ht="12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</row>
    <row r="769" ht="12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</row>
    <row r="770" ht="12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</row>
    <row r="771" ht="12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</row>
    <row r="772" ht="12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</row>
    <row r="773" ht="12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</row>
    <row r="774" ht="12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</row>
    <row r="775" ht="12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</row>
    <row r="776" ht="12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</row>
    <row r="777" ht="12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</row>
    <row r="778" ht="12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</row>
    <row r="779" ht="12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</row>
    <row r="780" ht="12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</row>
    <row r="781" ht="12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</row>
    <row r="782" ht="12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</row>
    <row r="783" ht="12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</row>
    <row r="784" ht="12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</row>
    <row r="785" ht="12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</row>
    <row r="786" ht="12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</row>
    <row r="787" ht="12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</row>
    <row r="788" ht="12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</row>
    <row r="789" ht="12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</row>
    <row r="790" ht="12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</row>
    <row r="791" ht="12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</row>
    <row r="792" ht="12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</row>
    <row r="793" ht="12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</row>
    <row r="794" ht="12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</row>
    <row r="795" ht="12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</row>
    <row r="796" ht="12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</row>
    <row r="797" ht="12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</row>
    <row r="798" ht="12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</row>
    <row r="799" ht="12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</row>
    <row r="800" ht="12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</row>
    <row r="801" ht="12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</row>
    <row r="802" ht="12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</row>
    <row r="803" ht="12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</row>
    <row r="804" ht="12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</row>
    <row r="805" ht="12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</row>
    <row r="806" ht="12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</row>
    <row r="807" ht="12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</row>
    <row r="808" ht="12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</row>
    <row r="809" ht="12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</row>
    <row r="810" ht="12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</row>
    <row r="811" ht="12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</row>
    <row r="812" ht="12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</row>
    <row r="813" ht="12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</row>
    <row r="814" ht="12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</row>
    <row r="815" ht="12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</row>
    <row r="816" ht="12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</row>
    <row r="817" ht="12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</row>
    <row r="818" ht="12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</row>
    <row r="819" ht="12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</row>
    <row r="820" ht="12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</row>
    <row r="821" ht="12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</row>
    <row r="822" ht="12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</row>
    <row r="823" ht="12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</row>
    <row r="824" ht="12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</row>
    <row r="825" ht="12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</row>
    <row r="826" ht="12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</row>
    <row r="827" ht="12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</row>
    <row r="828" ht="12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</row>
    <row r="829" ht="12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</row>
    <row r="830" ht="12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</row>
    <row r="831" ht="12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</row>
    <row r="832" ht="12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</row>
    <row r="833" ht="12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</row>
    <row r="834" ht="12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</row>
    <row r="835" ht="12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</row>
    <row r="836" ht="12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</row>
    <row r="837" ht="12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</row>
    <row r="838" ht="12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</row>
    <row r="839" ht="12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</row>
    <row r="840" ht="12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</row>
    <row r="841" ht="12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</row>
    <row r="842" ht="12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</row>
    <row r="843" ht="12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</row>
    <row r="844" ht="12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</row>
    <row r="845" ht="12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</row>
    <row r="846" ht="12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</row>
    <row r="847" ht="12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</row>
    <row r="848" ht="12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</row>
    <row r="849" ht="12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</row>
    <row r="850" ht="12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</row>
    <row r="851" ht="12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</row>
    <row r="852" ht="12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</row>
    <row r="853" ht="12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</row>
    <row r="854" ht="12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</row>
    <row r="855" ht="12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</row>
    <row r="856" ht="12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</row>
    <row r="857" ht="12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</row>
    <row r="858" ht="12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</row>
    <row r="859" ht="12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</row>
    <row r="860" ht="12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</row>
    <row r="861" ht="12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</row>
    <row r="862" ht="12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</row>
    <row r="863" ht="12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</row>
    <row r="864" ht="12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</row>
    <row r="865" ht="12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</row>
    <row r="866" ht="12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</row>
    <row r="867" ht="12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</row>
    <row r="868" ht="12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</row>
    <row r="869" ht="12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</row>
    <row r="870" ht="12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</row>
    <row r="871" ht="12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</row>
    <row r="872" ht="12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</row>
    <row r="873" ht="12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</row>
    <row r="874" ht="12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</row>
    <row r="875" ht="12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</row>
    <row r="876" ht="12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</row>
    <row r="877" ht="12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</row>
    <row r="878" ht="12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</row>
    <row r="879" ht="12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</row>
    <row r="880" ht="12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</row>
    <row r="881" ht="12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</row>
    <row r="882" ht="12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</row>
    <row r="883" ht="12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</row>
    <row r="884" ht="12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</row>
    <row r="885" ht="12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</row>
    <row r="886" ht="12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</row>
    <row r="887" ht="12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</row>
    <row r="888" ht="12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</row>
    <row r="889" ht="12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</row>
    <row r="890" ht="12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</row>
    <row r="891" ht="12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</row>
    <row r="892" ht="12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</row>
    <row r="893" ht="12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</row>
    <row r="894" ht="12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</row>
    <row r="895" ht="12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</row>
    <row r="896" ht="12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</row>
    <row r="897" ht="12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</row>
    <row r="898" ht="12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</row>
    <row r="899" ht="12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</row>
    <row r="900" ht="12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</row>
    <row r="901" ht="12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</row>
    <row r="902" ht="12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</row>
    <row r="903" ht="12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</row>
    <row r="904" ht="12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</row>
    <row r="905" ht="12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</row>
    <row r="906" ht="12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</row>
    <row r="907" ht="12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</row>
    <row r="908" ht="12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</row>
    <row r="909" ht="12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</row>
    <row r="910" ht="12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</row>
    <row r="911" ht="12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</row>
    <row r="912" ht="12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</row>
    <row r="913" ht="12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</row>
    <row r="914" ht="12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</row>
    <row r="915" ht="12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</row>
    <row r="916" ht="12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</row>
    <row r="917" ht="12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</row>
    <row r="918" ht="12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</row>
    <row r="919" ht="12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</row>
    <row r="920" ht="12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</row>
    <row r="921" ht="12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</row>
    <row r="922" ht="12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</row>
    <row r="923" ht="12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</row>
    <row r="924" ht="12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</row>
    <row r="925" ht="12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</row>
    <row r="926" ht="12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</row>
    <row r="927" ht="12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</row>
    <row r="928" ht="12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</row>
    <row r="929" ht="12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</row>
    <row r="930" ht="12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</row>
    <row r="931" ht="12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</row>
    <row r="932" ht="12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</row>
    <row r="933" ht="12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</row>
    <row r="934" ht="12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</row>
    <row r="935" ht="12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</row>
    <row r="936" ht="12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</row>
    <row r="937" ht="12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</row>
    <row r="938" ht="12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</row>
    <row r="939" ht="12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</row>
    <row r="940" ht="12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</row>
    <row r="941" ht="12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</row>
    <row r="942" ht="12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</row>
    <row r="943" ht="12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</row>
    <row r="944" ht="12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</row>
    <row r="945" ht="12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</row>
    <row r="946" ht="12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</row>
    <row r="947" ht="12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</row>
    <row r="948" ht="12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</row>
    <row r="949" ht="12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</row>
    <row r="950" ht="12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</row>
    <row r="951" ht="12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</row>
    <row r="952" ht="12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</row>
    <row r="953" ht="12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</row>
    <row r="954" ht="12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</row>
    <row r="955" ht="12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</row>
    <row r="956" ht="12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</row>
    <row r="957" ht="12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</row>
    <row r="958" ht="12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</row>
    <row r="959" ht="12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</row>
    <row r="960" ht="12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</row>
    <row r="961" ht="12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</row>
    <row r="962" ht="12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</row>
    <row r="963" ht="12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</row>
    <row r="964" ht="12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</row>
    <row r="965" ht="12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</row>
    <row r="966" ht="12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</row>
    <row r="967" ht="12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</row>
    <row r="968" ht="12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</row>
    <row r="969" ht="12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</row>
    <row r="970" ht="12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</row>
    <row r="971" ht="12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</row>
    <row r="972" ht="12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</row>
    <row r="973" ht="12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</row>
    <row r="974" ht="12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</row>
    <row r="975" ht="12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</row>
    <row r="976" ht="12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</row>
    <row r="977" ht="12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</row>
    <row r="978" ht="12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</row>
    <row r="979" ht="12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</row>
    <row r="980" ht="12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</row>
    <row r="981" ht="12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</row>
    <row r="982" ht="12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</row>
    <row r="983" ht="12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</row>
    <row r="984" ht="12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</row>
    <row r="985" ht="12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</row>
    <row r="986" ht="12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</row>
    <row r="987" ht="12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</row>
    <row r="988" ht="12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</row>
    <row r="989" ht="12.75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</row>
    <row r="990" ht="12.75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</row>
    <row r="991" ht="12.75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</row>
    <row r="992" ht="12.75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</row>
    <row r="993" ht="12.75" customHeight="1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</row>
    <row r="994" ht="12.75" customHeight="1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</row>
    <row r="995" ht="12.75" customHeight="1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</row>
    <row r="996" ht="12.75" customHeight="1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</row>
    <row r="997" ht="12.75" customHeight="1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</row>
    <row r="998" ht="12.75" customHeight="1">
      <c r="A998" s="164"/>
      <c r="B998" s="164"/>
      <c r="C998" s="164"/>
      <c r="D998" s="164"/>
      <c r="E998" s="164"/>
      <c r="F998" s="233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</row>
  </sheetData>
  <mergeCells count="145">
    <mergeCell ref="F49:F50"/>
    <mergeCell ref="H49:H50"/>
    <mergeCell ref="G49:G50"/>
    <mergeCell ref="E49:E50"/>
    <mergeCell ref="D49:D50"/>
    <mergeCell ref="C49:C50"/>
    <mergeCell ref="A49:A50"/>
    <mergeCell ref="E47:E48"/>
    <mergeCell ref="F47:F48"/>
    <mergeCell ref="B49:B50"/>
    <mergeCell ref="C45:C46"/>
    <mergeCell ref="D45:D46"/>
    <mergeCell ref="E45:E46"/>
    <mergeCell ref="H45:H46"/>
    <mergeCell ref="F45:F46"/>
    <mergeCell ref="H47:H48"/>
    <mergeCell ref="A135:A136"/>
    <mergeCell ref="B135:B136"/>
    <mergeCell ref="D135:D136"/>
    <mergeCell ref="E135:E136"/>
    <mergeCell ref="G135:G136"/>
    <mergeCell ref="F135:F136"/>
    <mergeCell ref="F137:F138"/>
    <mergeCell ref="A139:A145"/>
    <mergeCell ref="B139:B145"/>
    <mergeCell ref="C135:C136"/>
    <mergeCell ref="B55:B56"/>
    <mergeCell ref="A55:A56"/>
    <mergeCell ref="A51:A52"/>
    <mergeCell ref="A53:A54"/>
    <mergeCell ref="B53:B54"/>
    <mergeCell ref="C53:C54"/>
    <mergeCell ref="D53:D54"/>
    <mergeCell ref="C55:C56"/>
    <mergeCell ref="D55:D56"/>
    <mergeCell ref="C80:C81"/>
    <mergeCell ref="D80:D81"/>
    <mergeCell ref="G78:G79"/>
    <mergeCell ref="G80:G81"/>
    <mergeCell ref="E80:E81"/>
    <mergeCell ref="F80:F81"/>
    <mergeCell ref="D69:E69"/>
    <mergeCell ref="D72:E72"/>
    <mergeCell ref="A78:A79"/>
    <mergeCell ref="B78:B79"/>
    <mergeCell ref="D78:D79"/>
    <mergeCell ref="H78:H79"/>
    <mergeCell ref="E78:E79"/>
    <mergeCell ref="F78:F79"/>
    <mergeCell ref="A80:A81"/>
    <mergeCell ref="B80:B81"/>
    <mergeCell ref="H80:H81"/>
    <mergeCell ref="C78:C79"/>
    <mergeCell ref="G59:G60"/>
    <mergeCell ref="H59:H60"/>
    <mergeCell ref="E59:E60"/>
    <mergeCell ref="F59:F60"/>
    <mergeCell ref="C59:C60"/>
    <mergeCell ref="D59:D60"/>
    <mergeCell ref="A59:A60"/>
    <mergeCell ref="B59:B60"/>
    <mergeCell ref="E53:E54"/>
    <mergeCell ref="F53:F54"/>
    <mergeCell ref="G53:G54"/>
    <mergeCell ref="H53:H54"/>
    <mergeCell ref="F55:F56"/>
    <mergeCell ref="G55:G56"/>
    <mergeCell ref="H55:H56"/>
    <mergeCell ref="G45:G46"/>
    <mergeCell ref="G47:G48"/>
    <mergeCell ref="G43:G44"/>
    <mergeCell ref="H43:H44"/>
    <mergeCell ref="F43:F44"/>
    <mergeCell ref="C47:C48"/>
    <mergeCell ref="D47:D48"/>
    <mergeCell ref="B2:E2"/>
    <mergeCell ref="B3:E3"/>
    <mergeCell ref="B4:E4"/>
    <mergeCell ref="B16:B19"/>
    <mergeCell ref="D43:D44"/>
    <mergeCell ref="E43:E44"/>
    <mergeCell ref="B45:B46"/>
    <mergeCell ref="A45:A46"/>
    <mergeCell ref="A47:A48"/>
    <mergeCell ref="B47:B48"/>
    <mergeCell ref="B43:B44"/>
    <mergeCell ref="C43:C44"/>
    <mergeCell ref="A43:A44"/>
    <mergeCell ref="B51:B52"/>
    <mergeCell ref="C51:C52"/>
    <mergeCell ref="D51:D52"/>
    <mergeCell ref="E51:E52"/>
    <mergeCell ref="F51:F52"/>
    <mergeCell ref="G51:G52"/>
    <mergeCell ref="H51:H52"/>
    <mergeCell ref="C57:C58"/>
    <mergeCell ref="D57:D58"/>
    <mergeCell ref="E55:E56"/>
    <mergeCell ref="E57:E58"/>
    <mergeCell ref="F57:F58"/>
    <mergeCell ref="G57:G58"/>
    <mergeCell ref="H57:H58"/>
    <mergeCell ref="A57:A58"/>
    <mergeCell ref="B57:B58"/>
    <mergeCell ref="E132:E133"/>
    <mergeCell ref="G132:H133"/>
    <mergeCell ref="E130:E131"/>
    <mergeCell ref="G130:G131"/>
    <mergeCell ref="H135:H136"/>
    <mergeCell ref="H124:H125"/>
    <mergeCell ref="G124:G125"/>
    <mergeCell ref="E124:E125"/>
    <mergeCell ref="F124:F125"/>
    <mergeCell ref="D124:D125"/>
    <mergeCell ref="C124:C125"/>
    <mergeCell ref="H130:H131"/>
    <mergeCell ref="B95:B96"/>
    <mergeCell ref="C95:C96"/>
    <mergeCell ref="D95:D96"/>
    <mergeCell ref="E95:E96"/>
    <mergeCell ref="G95:G96"/>
    <mergeCell ref="H95:H96"/>
    <mergeCell ref="F95:F96"/>
    <mergeCell ref="A130:A131"/>
    <mergeCell ref="B130:B131"/>
    <mergeCell ref="C130:C131"/>
    <mergeCell ref="A132:A133"/>
    <mergeCell ref="B132:B133"/>
    <mergeCell ref="C132:C133"/>
    <mergeCell ref="B124:B125"/>
    <mergeCell ref="A124:A125"/>
    <mergeCell ref="D122:E122"/>
    <mergeCell ref="F130:F131"/>
    <mergeCell ref="F132:F133"/>
    <mergeCell ref="G97:G98"/>
    <mergeCell ref="H97:H98"/>
    <mergeCell ref="A95:A96"/>
    <mergeCell ref="A97:A98"/>
    <mergeCell ref="B97:B98"/>
    <mergeCell ref="C97:C98"/>
    <mergeCell ref="D97:D98"/>
    <mergeCell ref="E97:E98"/>
    <mergeCell ref="F97:F98"/>
    <mergeCell ref="D132:D133"/>
    <mergeCell ref="D130:D131"/>
  </mergeCells>
  <conditionalFormatting sqref="G1:G998">
    <cfRule type="notContainsBlanks" dxfId="0" priority="1">
      <formula>LEN(TRIM(G1))&gt;0</formula>
    </cfRule>
  </conditionalFormatting>
  <conditionalFormatting sqref="F1:F998">
    <cfRule type="notContainsBlanks" dxfId="0" priority="2">
      <formula>LEN(TRIM(F1))&gt;0</formula>
    </cfRule>
  </conditionalFormatting>
  <dataValidations>
    <dataValidation type="list" allowBlank="1" showErrorMessage="1" sqref="F1:F7 F9:F30 F32:F43 F45 F47 F49 F51 F53 F55 F57 F59 F61:F78 F80 F82:F95 F97 F99:F124 F126:F130 F132 F134:F135 F137 F139:F998">
      <formula1>"Pass,Fail,Untested,N/A"</formula1>
    </dataValidation>
    <dataValidation type="list" allowBlank="1" showErrorMessage="1" sqref="F8">
      <formula1>$J$2:$J$6</formula1>
    </dataValidation>
  </dataValidations>
  <printOptions/>
  <pageMargins bottom="0.7480314960629921" footer="0.0" header="0.0" left="0.7086614173228347" right="0.7086614173228347" top="0.7480314960629921"/>
  <pageSetup scale="67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8.43"/>
    <col customWidth="1" min="2" max="2" width="15.14"/>
    <col customWidth="1" min="3" max="3" width="36.86"/>
    <col customWidth="1" min="4" max="4" width="52.0"/>
    <col customWidth="1" min="5" max="5" width="19.29"/>
    <col customWidth="1" min="6" max="6" width="8.14"/>
    <col customWidth="1" min="7" max="7" width="12.0"/>
    <col customWidth="1" min="8" max="8" width="20.14"/>
    <col customWidth="1" min="9" max="9" width="9.43"/>
    <col customWidth="1" hidden="1" min="10" max="10" width="3.29"/>
    <col customWidth="1" min="11" max="26" width="8.71"/>
  </cols>
  <sheetData>
    <row r="1" ht="12.75" customHeight="1">
      <c r="A1" s="109"/>
      <c r="B1" s="110"/>
      <c r="C1" s="110"/>
      <c r="D1" s="110"/>
      <c r="E1" s="110"/>
      <c r="F1" s="111"/>
      <c r="G1" s="112"/>
      <c r="H1" s="24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15" t="s">
        <v>112</v>
      </c>
      <c r="B2" s="116" t="s">
        <v>172</v>
      </c>
      <c r="C2" s="15"/>
      <c r="D2" s="15"/>
      <c r="E2" s="15"/>
      <c r="F2" s="117"/>
      <c r="G2" s="24"/>
      <c r="H2" s="24"/>
      <c r="I2" s="113"/>
      <c r="J2" s="114" t="s">
        <v>26</v>
      </c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ht="25.5" customHeight="1">
      <c r="A3" s="118" t="s">
        <v>114</v>
      </c>
      <c r="B3" s="116" t="s">
        <v>173</v>
      </c>
      <c r="C3" s="15"/>
      <c r="D3" s="15"/>
      <c r="E3" s="15"/>
      <c r="F3" s="117"/>
      <c r="G3" s="24"/>
      <c r="H3" s="24"/>
      <c r="I3" s="113"/>
      <c r="J3" s="114" t="s">
        <v>27</v>
      </c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116</v>
      </c>
      <c r="B4" s="120" t="s">
        <v>174</v>
      </c>
      <c r="C4" s="121"/>
      <c r="D4" s="121"/>
      <c r="E4" s="121"/>
      <c r="F4" s="122"/>
      <c r="G4" s="24"/>
      <c r="H4" s="24"/>
      <c r="I4" s="113"/>
      <c r="J4" s="123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24" t="s">
        <v>26</v>
      </c>
      <c r="B5" s="125" t="s">
        <v>27</v>
      </c>
      <c r="C5" s="125" t="s">
        <v>28</v>
      </c>
      <c r="D5" s="126" t="s">
        <v>29</v>
      </c>
      <c r="E5" s="127" t="s">
        <v>118</v>
      </c>
      <c r="F5" s="117"/>
      <c r="G5" s="128"/>
      <c r="H5" s="128"/>
      <c r="I5" s="129"/>
      <c r="J5" s="114" t="s">
        <v>119</v>
      </c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130">
        <f>COUNTIF(F10:F942,"Pass")</f>
        <v>47</v>
      </c>
      <c r="B6" s="131">
        <f>COUNTIF(F10:F942,"Fail")</f>
        <v>0</v>
      </c>
      <c r="C6" s="131">
        <f>E6-D6-B6-A6</f>
        <v>20</v>
      </c>
      <c r="D6" s="132">
        <f>COUNTIF(F$10:F$942,"N/A")</f>
        <v>0</v>
      </c>
      <c r="E6" s="133">
        <f>COUNTA(A10:A942)</f>
        <v>67</v>
      </c>
      <c r="F6" s="134"/>
      <c r="G6" s="128"/>
      <c r="H6" s="128"/>
      <c r="I6" s="129"/>
      <c r="J6" s="114" t="s">
        <v>29</v>
      </c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114"/>
      <c r="B7" s="114"/>
      <c r="C7" s="114"/>
      <c r="D7" s="108"/>
      <c r="E7" s="108"/>
      <c r="F7" s="128"/>
      <c r="G7" s="128"/>
      <c r="H7" s="128"/>
      <c r="I7" s="129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 ht="25.5" customHeight="1">
      <c r="A8" s="135" t="s">
        <v>120</v>
      </c>
      <c r="B8" s="135" t="s">
        <v>121</v>
      </c>
      <c r="C8" s="135" t="s">
        <v>122</v>
      </c>
      <c r="D8" s="135" t="s">
        <v>123</v>
      </c>
      <c r="E8" s="136" t="s">
        <v>124</v>
      </c>
      <c r="F8" s="136" t="s">
        <v>125</v>
      </c>
      <c r="G8" s="136" t="s">
        <v>126</v>
      </c>
      <c r="H8" s="135" t="s">
        <v>127</v>
      </c>
      <c r="I8" s="137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 ht="15.75" customHeight="1">
      <c r="A9" s="138"/>
      <c r="B9" s="139" t="s">
        <v>177</v>
      </c>
      <c r="C9" s="140"/>
      <c r="D9" s="140"/>
      <c r="E9" s="140"/>
      <c r="F9" s="140"/>
      <c r="G9" s="140"/>
      <c r="H9" s="141"/>
      <c r="I9" s="142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ht="29.25" customHeight="1">
      <c r="A10" s="171" t="s">
        <v>178</v>
      </c>
      <c r="B10" s="171" t="s">
        <v>180</v>
      </c>
      <c r="C10" s="173"/>
      <c r="D10" s="68" t="s">
        <v>181</v>
      </c>
      <c r="E10" s="147" t="s">
        <v>60</v>
      </c>
      <c r="F10" s="143" t="s">
        <v>26</v>
      </c>
      <c r="G10" s="175">
        <v>43232.0</v>
      </c>
      <c r="H10" s="143"/>
      <c r="I10" s="177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</row>
    <row r="11" ht="12.75" customHeight="1">
      <c r="A11" s="179"/>
      <c r="B11" s="179"/>
      <c r="C11" s="68" t="s">
        <v>183</v>
      </c>
      <c r="D11" s="68" t="s">
        <v>184</v>
      </c>
      <c r="E11" s="151" t="s">
        <v>60</v>
      </c>
      <c r="F11" s="143" t="s">
        <v>26</v>
      </c>
      <c r="G11" s="181">
        <v>43232.0</v>
      </c>
      <c r="H11" s="143"/>
      <c r="I11" s="17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79"/>
      <c r="B12" s="179"/>
      <c r="C12" s="68" t="s">
        <v>186</v>
      </c>
      <c r="D12" s="68" t="s">
        <v>187</v>
      </c>
      <c r="E12" s="151" t="s">
        <v>60</v>
      </c>
      <c r="F12" s="143" t="s">
        <v>26</v>
      </c>
      <c r="G12" s="181">
        <v>43232.0</v>
      </c>
      <c r="H12" s="143"/>
      <c r="I12" s="17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79"/>
      <c r="B13" s="179"/>
      <c r="C13" s="68" t="s">
        <v>190</v>
      </c>
      <c r="D13" s="68" t="s">
        <v>191</v>
      </c>
      <c r="E13" s="151" t="s">
        <v>60</v>
      </c>
      <c r="F13" s="143" t="s">
        <v>26</v>
      </c>
      <c r="G13" s="181">
        <v>43232.0</v>
      </c>
      <c r="H13" s="143"/>
      <c r="I13" s="17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79"/>
      <c r="B14" s="179"/>
      <c r="C14" s="68" t="s">
        <v>192</v>
      </c>
      <c r="D14" s="68" t="s">
        <v>193</v>
      </c>
      <c r="E14" s="151"/>
      <c r="F14" s="143" t="s">
        <v>26</v>
      </c>
      <c r="G14" s="181">
        <v>43232.0</v>
      </c>
      <c r="H14" s="143"/>
      <c r="I14" s="17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79"/>
      <c r="B15" s="179"/>
      <c r="C15" s="68" t="s">
        <v>194</v>
      </c>
      <c r="D15" s="68" t="s">
        <v>195</v>
      </c>
      <c r="E15" s="151"/>
      <c r="F15" s="143" t="s">
        <v>26</v>
      </c>
      <c r="G15" s="181">
        <v>43232.0</v>
      </c>
      <c r="H15" s="143"/>
      <c r="I15" s="17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79"/>
      <c r="B16" s="179"/>
      <c r="C16" s="68" t="s">
        <v>198</v>
      </c>
      <c r="D16" s="68" t="s">
        <v>199</v>
      </c>
      <c r="E16" s="151"/>
      <c r="F16" s="143" t="s">
        <v>26</v>
      </c>
      <c r="G16" s="181">
        <v>43232.0</v>
      </c>
      <c r="H16" s="143"/>
      <c r="I16" s="17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51"/>
      <c r="B17" s="51"/>
      <c r="C17" s="68" t="s">
        <v>200</v>
      </c>
      <c r="D17" s="68" t="s">
        <v>201</v>
      </c>
      <c r="E17" s="151"/>
      <c r="F17" s="143" t="s">
        <v>26</v>
      </c>
      <c r="G17" s="181">
        <v>43232.0</v>
      </c>
      <c r="H17" s="143"/>
      <c r="I17" s="17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71" t="s">
        <v>203</v>
      </c>
      <c r="B18" s="171" t="s">
        <v>207</v>
      </c>
      <c r="C18" s="173"/>
      <c r="D18" s="173"/>
      <c r="E18" s="151"/>
      <c r="F18" s="143" t="s">
        <v>26</v>
      </c>
      <c r="G18" s="181">
        <v>43232.0</v>
      </c>
      <c r="H18" s="143"/>
      <c r="I18" s="17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79"/>
      <c r="B19" s="179"/>
      <c r="C19" s="68" t="s">
        <v>210</v>
      </c>
      <c r="D19" s="68" t="s">
        <v>211</v>
      </c>
      <c r="E19" s="151"/>
      <c r="F19" s="143" t="s">
        <v>26</v>
      </c>
      <c r="G19" s="181">
        <v>43232.0</v>
      </c>
      <c r="H19" s="143"/>
      <c r="I19" s="17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51"/>
      <c r="B20" s="51"/>
      <c r="C20" s="68" t="s">
        <v>212</v>
      </c>
      <c r="D20" s="68" t="s">
        <v>214</v>
      </c>
      <c r="E20" s="151"/>
      <c r="F20" s="143" t="s">
        <v>26</v>
      </c>
      <c r="G20" s="181">
        <v>43232.0</v>
      </c>
      <c r="H20" s="143"/>
      <c r="I20" s="17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38"/>
      <c r="B21" s="139" t="s">
        <v>216</v>
      </c>
      <c r="C21" s="140"/>
      <c r="D21" s="140"/>
      <c r="E21" s="140"/>
      <c r="F21" s="140"/>
      <c r="G21" s="140"/>
      <c r="H21" s="141"/>
      <c r="I21" s="15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94" t="str">
        <f>IF(OR(B22&lt;&gt;"",D22&lt;&gt;""),"[FUNC-"&amp;TEXT($B$2,"##")&amp;"-"&amp;TEXT(ROW()-17,"##")&amp;"]","")</f>
        <v>[FUNC-Quản lí công dân tạm trú tạm vắng-5]</v>
      </c>
      <c r="B22" s="196" t="s">
        <v>224</v>
      </c>
      <c r="C22" s="198" t="s">
        <v>227</v>
      </c>
      <c r="D22" s="171" t="s">
        <v>231</v>
      </c>
      <c r="E22" s="194"/>
      <c r="F22" s="194" t="s">
        <v>26</v>
      </c>
      <c r="G22" s="200">
        <v>43232.0</v>
      </c>
      <c r="H22" s="143"/>
      <c r="I22" s="20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51"/>
      <c r="B23" s="51"/>
      <c r="C23" s="51"/>
      <c r="D23" s="51"/>
      <c r="E23" s="51"/>
      <c r="F23" s="51"/>
      <c r="G23" s="51"/>
      <c r="H23" s="153"/>
      <c r="I23" s="20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53"/>
      <c r="B24" s="196" t="s">
        <v>224</v>
      </c>
      <c r="C24" s="202" t="s">
        <v>248</v>
      </c>
      <c r="D24" s="68" t="s">
        <v>251</v>
      </c>
      <c r="E24" s="153"/>
      <c r="F24" s="194" t="s">
        <v>26</v>
      </c>
      <c r="G24" s="200">
        <v>43232.0</v>
      </c>
      <c r="H24" s="153"/>
      <c r="I24" s="20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38"/>
      <c r="B25" s="139" t="s">
        <v>252</v>
      </c>
      <c r="C25" s="140"/>
      <c r="D25" s="140"/>
      <c r="E25" s="140"/>
      <c r="F25" s="140"/>
      <c r="G25" s="140"/>
      <c r="H25" s="141"/>
      <c r="I25" s="20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68" t="s">
        <v>178</v>
      </c>
      <c r="B26" s="68" t="s">
        <v>253</v>
      </c>
      <c r="C26" s="68" t="s">
        <v>254</v>
      </c>
      <c r="D26" s="68" t="s">
        <v>255</v>
      </c>
      <c r="E26" s="147" t="s">
        <v>60</v>
      </c>
      <c r="F26" s="143" t="s">
        <v>26</v>
      </c>
      <c r="G26" s="175">
        <v>43232.0</v>
      </c>
      <c r="H26" s="143"/>
      <c r="I26" s="20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68"/>
      <c r="B27" s="68" t="s">
        <v>257</v>
      </c>
      <c r="C27" s="68" t="s">
        <v>258</v>
      </c>
      <c r="D27" s="68" t="s">
        <v>259</v>
      </c>
      <c r="E27" s="151" t="s">
        <v>60</v>
      </c>
      <c r="F27" s="143" t="s">
        <v>26</v>
      </c>
      <c r="G27" s="181">
        <v>43232.0</v>
      </c>
      <c r="H27" s="143"/>
      <c r="I27" s="20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68"/>
      <c r="B28" s="68" t="s">
        <v>262</v>
      </c>
      <c r="C28" s="68" t="s">
        <v>263</v>
      </c>
      <c r="D28" s="68" t="s">
        <v>259</v>
      </c>
      <c r="E28" s="151" t="s">
        <v>60</v>
      </c>
      <c r="F28" s="143" t="s">
        <v>26</v>
      </c>
      <c r="G28" s="181">
        <v>43232.0</v>
      </c>
      <c r="H28" s="143"/>
      <c r="I28" s="20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68"/>
      <c r="B29" s="68" t="s">
        <v>266</v>
      </c>
      <c r="C29" s="68" t="s">
        <v>267</v>
      </c>
      <c r="D29" s="68" t="s">
        <v>268</v>
      </c>
      <c r="E29" s="151" t="s">
        <v>60</v>
      </c>
      <c r="F29" s="143" t="s">
        <v>26</v>
      </c>
      <c r="G29" s="181">
        <v>43232.0</v>
      </c>
      <c r="H29" s="143"/>
      <c r="I29" s="20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68"/>
      <c r="B30" s="68" t="s">
        <v>269</v>
      </c>
      <c r="C30" s="68" t="s">
        <v>271</v>
      </c>
      <c r="D30" s="68" t="s">
        <v>272</v>
      </c>
      <c r="E30" s="151"/>
      <c r="F30" s="143" t="s">
        <v>26</v>
      </c>
      <c r="G30" s="181">
        <v>43232.0</v>
      </c>
      <c r="H30" s="143"/>
      <c r="I30" s="20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68"/>
      <c r="B31" s="68" t="s">
        <v>274</v>
      </c>
      <c r="C31" s="210"/>
      <c r="D31" s="68" t="s">
        <v>214</v>
      </c>
      <c r="E31" s="151"/>
      <c r="F31" s="143" t="s">
        <v>26</v>
      </c>
      <c r="G31" s="181">
        <v>43232.0</v>
      </c>
      <c r="H31" s="143"/>
      <c r="I31" s="20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68"/>
      <c r="B32" s="68" t="s">
        <v>276</v>
      </c>
      <c r="C32" s="210"/>
      <c r="D32" s="68" t="s">
        <v>214</v>
      </c>
      <c r="E32" s="151"/>
      <c r="F32" s="143" t="s">
        <v>26</v>
      </c>
      <c r="G32" s="181">
        <v>43232.0</v>
      </c>
      <c r="H32" s="143"/>
      <c r="I32" s="20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13"/>
      <c r="B33" s="214" t="s">
        <v>283</v>
      </c>
      <c r="C33" s="213"/>
      <c r="D33" s="213"/>
      <c r="E33" s="213"/>
      <c r="F33" s="213"/>
      <c r="G33" s="213"/>
      <c r="H33" s="213"/>
      <c r="I33" s="20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19" t="str">
        <f>IF(OR(B34&lt;&gt;"",D34&lt;&gt;""),"[FUNC-"&amp;TEXT($B$2,"##")&amp;"-"&amp;TEXT(ROW()-17,"##")&amp;"]","")</f>
        <v>[FUNC-Quản lí công dân tạm trú tạm vắng-17]</v>
      </c>
      <c r="B34" s="221" t="s">
        <v>292</v>
      </c>
      <c r="C34" s="221" t="s">
        <v>293</v>
      </c>
      <c r="D34" s="221" t="s">
        <v>295</v>
      </c>
      <c r="E34" s="219"/>
      <c r="F34" s="219" t="s">
        <v>26</v>
      </c>
      <c r="G34" s="226">
        <v>43232.0</v>
      </c>
      <c r="H34" s="229"/>
      <c r="I34" s="20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75" customHeight="1">
      <c r="A35" s="51"/>
      <c r="B35" s="221" t="s">
        <v>303</v>
      </c>
      <c r="C35" s="221" t="s">
        <v>304</v>
      </c>
      <c r="D35" s="221" t="s">
        <v>309</v>
      </c>
      <c r="E35" s="51"/>
      <c r="F35" s="51"/>
      <c r="G35" s="51"/>
      <c r="H35" s="231"/>
      <c r="I35" s="20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231"/>
      <c r="B36" s="221" t="s">
        <v>314</v>
      </c>
      <c r="C36" s="221" t="s">
        <v>316</v>
      </c>
      <c r="D36" s="221" t="s">
        <v>319</v>
      </c>
      <c r="E36" s="231"/>
      <c r="F36" s="229" t="s">
        <v>26</v>
      </c>
      <c r="G36" s="232">
        <v>43232.0</v>
      </c>
      <c r="H36" s="231"/>
      <c r="I36" s="20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6.75" customHeight="1">
      <c r="A37" s="231"/>
      <c r="B37" s="221" t="s">
        <v>322</v>
      </c>
      <c r="C37" s="231"/>
      <c r="D37" s="221" t="s">
        <v>323</v>
      </c>
      <c r="E37" s="231"/>
      <c r="F37" s="229" t="s">
        <v>26</v>
      </c>
      <c r="G37" s="232">
        <v>43232.0</v>
      </c>
      <c r="H37" s="231"/>
      <c r="I37" s="20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0" customHeight="1">
      <c r="A38" s="231"/>
      <c r="B38" s="231"/>
      <c r="C38" s="231"/>
      <c r="D38" s="221"/>
      <c r="E38" s="231"/>
      <c r="F38" s="231"/>
      <c r="G38" s="231"/>
      <c r="H38" s="231"/>
      <c r="I38" s="20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34"/>
      <c r="B39" s="236" t="s">
        <v>330</v>
      </c>
      <c r="C39" s="238"/>
      <c r="D39" s="238"/>
      <c r="E39" s="240"/>
      <c r="F39" s="240"/>
      <c r="G39" s="242"/>
      <c r="H39" s="243"/>
      <c r="I39" s="15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45" t="s">
        <v>185</v>
      </c>
      <c r="B40" s="247" t="s">
        <v>188</v>
      </c>
      <c r="C40" s="249"/>
      <c r="D40" s="250" t="s">
        <v>189</v>
      </c>
      <c r="E40" s="252"/>
      <c r="F40" s="185" t="s">
        <v>26</v>
      </c>
      <c r="G40" s="253">
        <v>43232.0</v>
      </c>
      <c r="H40" s="254"/>
      <c r="I40" s="20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45" t="s">
        <v>196</v>
      </c>
      <c r="B41" s="247" t="s">
        <v>197</v>
      </c>
      <c r="C41" s="249"/>
      <c r="D41" s="250" t="s">
        <v>202</v>
      </c>
      <c r="E41" s="252"/>
      <c r="F41" s="185" t="s">
        <v>26</v>
      </c>
      <c r="G41" s="256">
        <v>43232.0</v>
      </c>
      <c r="H41" s="254"/>
      <c r="I41" s="20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45" t="s">
        <v>204</v>
      </c>
      <c r="B42" s="247" t="s">
        <v>205</v>
      </c>
      <c r="C42" s="249"/>
      <c r="D42" s="250" t="s">
        <v>206</v>
      </c>
      <c r="E42" s="252"/>
      <c r="F42" s="185" t="s">
        <v>26</v>
      </c>
      <c r="G42" s="256">
        <v>43232.0</v>
      </c>
      <c r="H42" s="254"/>
      <c r="I42" s="20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45" t="s">
        <v>208</v>
      </c>
      <c r="B43" s="247" t="s">
        <v>209</v>
      </c>
      <c r="C43" s="257" t="s">
        <v>183</v>
      </c>
      <c r="D43" s="257" t="s">
        <v>184</v>
      </c>
      <c r="E43" s="252"/>
      <c r="F43" s="185" t="s">
        <v>26</v>
      </c>
      <c r="G43" s="256">
        <v>43232.0</v>
      </c>
      <c r="H43" s="254"/>
      <c r="I43" s="20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45" t="s">
        <v>217</v>
      </c>
      <c r="B44" s="249"/>
      <c r="C44" s="257" t="s">
        <v>186</v>
      </c>
      <c r="D44" s="257" t="s">
        <v>187</v>
      </c>
      <c r="E44" s="252"/>
      <c r="F44" s="185" t="s">
        <v>26</v>
      </c>
      <c r="G44" s="256">
        <v>43232.0</v>
      </c>
      <c r="H44" s="254"/>
      <c r="I44" s="20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45" t="s">
        <v>220</v>
      </c>
      <c r="B45" s="249"/>
      <c r="C45" s="257" t="s">
        <v>190</v>
      </c>
      <c r="D45" s="257" t="s">
        <v>191</v>
      </c>
      <c r="E45" s="252"/>
      <c r="F45" s="185" t="s">
        <v>26</v>
      </c>
      <c r="G45" s="256">
        <v>43232.0</v>
      </c>
      <c r="H45" s="254"/>
      <c r="I45" s="20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58" t="s">
        <v>223</v>
      </c>
      <c r="B46" s="259"/>
      <c r="C46" s="257" t="s">
        <v>192</v>
      </c>
      <c r="D46" s="257" t="s">
        <v>193</v>
      </c>
      <c r="E46" s="252"/>
      <c r="F46" s="185" t="s">
        <v>26</v>
      </c>
      <c r="G46" s="256">
        <v>43232.0</v>
      </c>
      <c r="H46" s="254"/>
      <c r="I46" s="20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58" t="s">
        <v>228</v>
      </c>
      <c r="B47" s="179"/>
      <c r="C47" s="257" t="s">
        <v>194</v>
      </c>
      <c r="D47" s="257" t="s">
        <v>195</v>
      </c>
      <c r="E47" s="252"/>
      <c r="F47" s="185" t="s">
        <v>26</v>
      </c>
      <c r="G47" s="256">
        <v>43232.0</v>
      </c>
      <c r="H47" s="254"/>
      <c r="I47" s="20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58" t="s">
        <v>232</v>
      </c>
      <c r="B48" s="179"/>
      <c r="C48" s="257" t="s">
        <v>198</v>
      </c>
      <c r="D48" s="257" t="s">
        <v>199</v>
      </c>
      <c r="E48" s="252"/>
      <c r="F48" s="185" t="s">
        <v>26</v>
      </c>
      <c r="G48" s="256">
        <v>43232.0</v>
      </c>
      <c r="H48" s="254"/>
      <c r="I48" s="20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58" t="s">
        <v>235</v>
      </c>
      <c r="B49" s="51"/>
      <c r="C49" s="257" t="s">
        <v>200</v>
      </c>
      <c r="D49" s="257" t="s">
        <v>201</v>
      </c>
      <c r="E49" s="252"/>
      <c r="F49" s="185" t="s">
        <v>26</v>
      </c>
      <c r="G49" s="256">
        <v>43232.0</v>
      </c>
      <c r="H49" s="254"/>
      <c r="I49" s="20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58" t="s">
        <v>238</v>
      </c>
      <c r="B50" s="247" t="s">
        <v>239</v>
      </c>
      <c r="C50" s="260" t="s">
        <v>240</v>
      </c>
      <c r="D50" s="250" t="s">
        <v>206</v>
      </c>
      <c r="E50" s="252"/>
      <c r="F50" s="185" t="s">
        <v>26</v>
      </c>
      <c r="G50" s="256">
        <v>43232.0</v>
      </c>
      <c r="H50" s="254"/>
      <c r="I50" s="20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58" t="s">
        <v>241</v>
      </c>
      <c r="B51" s="143" t="s">
        <v>242</v>
      </c>
      <c r="C51" s="260" t="s">
        <v>243</v>
      </c>
      <c r="D51" s="250" t="s">
        <v>206</v>
      </c>
      <c r="E51" s="252"/>
      <c r="F51" s="185" t="s">
        <v>26</v>
      </c>
      <c r="G51" s="256">
        <v>43232.0</v>
      </c>
      <c r="H51" s="254"/>
      <c r="I51" s="20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58" t="s">
        <v>244</v>
      </c>
      <c r="B52" s="143" t="s">
        <v>245</v>
      </c>
      <c r="C52" s="260" t="s">
        <v>240</v>
      </c>
      <c r="D52" s="203" t="s">
        <v>206</v>
      </c>
      <c r="E52" s="252"/>
      <c r="F52" s="185" t="s">
        <v>26</v>
      </c>
      <c r="G52" s="256">
        <v>43232.0</v>
      </c>
      <c r="H52" s="254"/>
      <c r="I52" s="20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61" t="s">
        <v>246</v>
      </c>
      <c r="B53" s="143" t="s">
        <v>247</v>
      </c>
      <c r="C53" s="260" t="s">
        <v>243</v>
      </c>
      <c r="D53" s="203" t="s">
        <v>206</v>
      </c>
      <c r="E53" s="252"/>
      <c r="F53" s="185" t="s">
        <v>26</v>
      </c>
      <c r="G53" s="256">
        <v>43232.0</v>
      </c>
      <c r="H53" s="254"/>
      <c r="I53" s="20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62"/>
      <c r="B54" s="143" t="s">
        <v>249</v>
      </c>
      <c r="C54" s="260" t="s">
        <v>250</v>
      </c>
      <c r="D54" s="203" t="s">
        <v>206</v>
      </c>
      <c r="E54" s="252"/>
      <c r="F54" s="185" t="s">
        <v>26</v>
      </c>
      <c r="G54" s="256">
        <v>43232.0</v>
      </c>
      <c r="H54" s="254"/>
      <c r="I54" s="20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64"/>
      <c r="B55" s="265" t="s">
        <v>256</v>
      </c>
      <c r="C55" s="240"/>
      <c r="D55" s="240"/>
      <c r="E55" s="240"/>
      <c r="F55" s="240"/>
      <c r="G55" s="240"/>
      <c r="H55" s="243"/>
      <c r="I55" s="15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58" t="s">
        <v>260</v>
      </c>
      <c r="B56" s="266" t="s">
        <v>261</v>
      </c>
      <c r="C56" s="266" t="s">
        <v>264</v>
      </c>
      <c r="D56" s="266" t="s">
        <v>265</v>
      </c>
      <c r="E56" s="267"/>
      <c r="F56" s="269" t="s">
        <v>26</v>
      </c>
      <c r="G56" s="256">
        <v>43232.0</v>
      </c>
      <c r="H56" s="270"/>
      <c r="I56" s="15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71" t="s">
        <v>270</v>
      </c>
      <c r="B57" s="272" t="s">
        <v>360</v>
      </c>
      <c r="C57" s="273" t="s">
        <v>361</v>
      </c>
      <c r="D57" s="273" t="s">
        <v>362</v>
      </c>
      <c r="E57" s="267" t="s">
        <v>363</v>
      </c>
      <c r="F57" s="269" t="s">
        <v>26</v>
      </c>
      <c r="G57" s="256">
        <v>43232.0</v>
      </c>
      <c r="H57" s="270"/>
      <c r="I57" s="15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71" t="s">
        <v>279</v>
      </c>
      <c r="B58" s="272" t="s">
        <v>367</v>
      </c>
      <c r="C58" s="273" t="s">
        <v>368</v>
      </c>
      <c r="D58" s="273" t="s">
        <v>369</v>
      </c>
      <c r="E58" s="267" t="s">
        <v>363</v>
      </c>
      <c r="F58" s="269" t="s">
        <v>26</v>
      </c>
      <c r="G58" s="256">
        <v>43232.0</v>
      </c>
      <c r="H58" s="270"/>
      <c r="I58" s="15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71" t="s">
        <v>284</v>
      </c>
      <c r="B59" s="272" t="s">
        <v>371</v>
      </c>
      <c r="C59" s="273" t="s">
        <v>368</v>
      </c>
      <c r="D59" s="266" t="s">
        <v>372</v>
      </c>
      <c r="E59" s="267" t="s">
        <v>363</v>
      </c>
      <c r="F59" s="269" t="s">
        <v>26</v>
      </c>
      <c r="G59" s="256">
        <v>43232.0</v>
      </c>
      <c r="H59" s="270"/>
      <c r="I59" s="15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71" t="s">
        <v>373</v>
      </c>
      <c r="B60" s="272" t="s">
        <v>374</v>
      </c>
      <c r="C60" s="273" t="s">
        <v>375</v>
      </c>
      <c r="D60" s="273" t="s">
        <v>376</v>
      </c>
      <c r="E60" s="267" t="s">
        <v>363</v>
      </c>
      <c r="F60" s="269" t="s">
        <v>26</v>
      </c>
      <c r="G60" s="256">
        <v>43232.0</v>
      </c>
      <c r="H60" s="270"/>
      <c r="I60" s="15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71" t="s">
        <v>377</v>
      </c>
      <c r="B61" s="272" t="s">
        <v>378</v>
      </c>
      <c r="C61" s="273" t="s">
        <v>375</v>
      </c>
      <c r="D61" s="266" t="s">
        <v>372</v>
      </c>
      <c r="E61" s="267" t="s">
        <v>363</v>
      </c>
      <c r="F61" s="269" t="s">
        <v>26</v>
      </c>
      <c r="G61" s="256">
        <v>43232.0</v>
      </c>
      <c r="H61" s="270"/>
      <c r="I61" s="15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71" t="s">
        <v>381</v>
      </c>
      <c r="B62" s="273" t="s">
        <v>382</v>
      </c>
      <c r="C62" s="273" t="s">
        <v>383</v>
      </c>
      <c r="D62" s="273" t="s">
        <v>385</v>
      </c>
      <c r="E62" s="267" t="s">
        <v>363</v>
      </c>
      <c r="F62" s="269" t="s">
        <v>26</v>
      </c>
      <c r="G62" s="256">
        <v>43232.0</v>
      </c>
      <c r="H62" s="270"/>
      <c r="I62" s="15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71" t="s">
        <v>387</v>
      </c>
      <c r="B63" s="273" t="s">
        <v>388</v>
      </c>
      <c r="C63" s="273" t="s">
        <v>389</v>
      </c>
      <c r="D63" s="273" t="s">
        <v>390</v>
      </c>
      <c r="E63" s="267" t="s">
        <v>363</v>
      </c>
      <c r="F63" s="269" t="s">
        <v>26</v>
      </c>
      <c r="G63" s="256">
        <v>43232.0</v>
      </c>
      <c r="H63" s="270"/>
      <c r="I63" s="15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71" t="s">
        <v>391</v>
      </c>
      <c r="B64" s="273" t="s">
        <v>392</v>
      </c>
      <c r="C64" s="273" t="s">
        <v>393</v>
      </c>
      <c r="D64" s="273" t="s">
        <v>394</v>
      </c>
      <c r="E64" s="267" t="s">
        <v>363</v>
      </c>
      <c r="F64" s="269" t="s">
        <v>26</v>
      </c>
      <c r="G64" s="256">
        <v>43232.0</v>
      </c>
      <c r="H64" s="270"/>
      <c r="I64" s="15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74"/>
      <c r="B65" s="275" t="s">
        <v>399</v>
      </c>
      <c r="C65" s="277"/>
      <c r="D65" s="278"/>
      <c r="E65" s="277"/>
      <c r="F65" s="277"/>
      <c r="G65" s="277"/>
      <c r="I65" s="15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22" t="s">
        <v>408</v>
      </c>
      <c r="B66" s="224" t="s">
        <v>289</v>
      </c>
      <c r="C66" s="223" t="s">
        <v>409</v>
      </c>
      <c r="D66" s="224" t="s">
        <v>410</v>
      </c>
      <c r="E66" s="223"/>
      <c r="F66" s="223"/>
      <c r="G66" s="223"/>
      <c r="I66" s="15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22" t="s">
        <v>415</v>
      </c>
      <c r="B67" s="224" t="s">
        <v>294</v>
      </c>
      <c r="C67" s="223" t="s">
        <v>296</v>
      </c>
      <c r="D67" s="224" t="s">
        <v>416</v>
      </c>
      <c r="E67" s="223"/>
      <c r="F67" s="223"/>
      <c r="G67" s="223"/>
      <c r="I67" s="15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22" t="s">
        <v>418</v>
      </c>
      <c r="B68" s="224" t="s">
        <v>298</v>
      </c>
      <c r="C68" s="223" t="s">
        <v>419</v>
      </c>
      <c r="D68" s="224" t="s">
        <v>420</v>
      </c>
      <c r="E68" s="223"/>
      <c r="F68" s="223"/>
      <c r="G68" s="223"/>
      <c r="I68" s="15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22" t="s">
        <v>422</v>
      </c>
      <c r="B69" s="224" t="s">
        <v>301</v>
      </c>
      <c r="C69" s="223" t="s">
        <v>423</v>
      </c>
      <c r="D69" s="224" t="s">
        <v>424</v>
      </c>
      <c r="E69" s="223"/>
      <c r="F69" s="223"/>
      <c r="G69" s="223"/>
      <c r="I69" s="15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22" t="s">
        <v>427</v>
      </c>
      <c r="B70" s="224" t="s">
        <v>306</v>
      </c>
      <c r="C70" s="223" t="s">
        <v>307</v>
      </c>
      <c r="D70" s="224" t="s">
        <v>428</v>
      </c>
      <c r="E70" s="223"/>
      <c r="F70" s="223"/>
      <c r="G70" s="223"/>
      <c r="I70" s="15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22" t="s">
        <v>432</v>
      </c>
      <c r="B71" s="224" t="s">
        <v>257</v>
      </c>
      <c r="C71" s="223" t="s">
        <v>434</v>
      </c>
      <c r="D71" s="224" t="s">
        <v>435</v>
      </c>
      <c r="E71" s="223"/>
      <c r="F71" s="223"/>
      <c r="G71" s="223"/>
      <c r="I71" s="15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22" t="s">
        <v>438</v>
      </c>
      <c r="B72" s="224" t="s">
        <v>440</v>
      </c>
      <c r="C72" s="223" t="s">
        <v>441</v>
      </c>
      <c r="D72" s="224" t="s">
        <v>443</v>
      </c>
      <c r="E72" s="223"/>
      <c r="F72" s="223"/>
      <c r="G72" s="223"/>
      <c r="I72" s="15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22" t="s">
        <v>444</v>
      </c>
      <c r="B73" s="224" t="s">
        <v>445</v>
      </c>
      <c r="C73" s="223" t="s">
        <v>446</v>
      </c>
      <c r="D73" s="224" t="s">
        <v>449</v>
      </c>
      <c r="E73" s="223"/>
      <c r="F73" s="223"/>
      <c r="G73" s="223"/>
      <c r="I73" s="15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22" t="s">
        <v>455</v>
      </c>
      <c r="B74" s="224" t="s">
        <v>456</v>
      </c>
      <c r="C74" s="223"/>
      <c r="D74" s="223" t="s">
        <v>214</v>
      </c>
      <c r="E74" s="223"/>
      <c r="F74" s="223"/>
      <c r="G74" s="223"/>
      <c r="I74" s="15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22" t="s">
        <v>457</v>
      </c>
      <c r="B75" s="224" t="s">
        <v>329</v>
      </c>
      <c r="C75" s="223"/>
      <c r="D75" s="223" t="s">
        <v>214</v>
      </c>
      <c r="E75" s="223"/>
      <c r="F75" s="223"/>
      <c r="G75" s="223"/>
      <c r="I75" s="15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22" t="s">
        <v>462</v>
      </c>
      <c r="B76" s="224" t="s">
        <v>327</v>
      </c>
      <c r="C76" s="223"/>
      <c r="D76" s="223" t="s">
        <v>214</v>
      </c>
      <c r="E76" s="223"/>
      <c r="F76" s="223"/>
      <c r="G76" s="223"/>
      <c r="I76" s="15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74"/>
      <c r="B77" s="275" t="s">
        <v>466</v>
      </c>
      <c r="C77" s="277"/>
      <c r="D77" s="278"/>
      <c r="E77" s="277"/>
      <c r="F77" s="277"/>
      <c r="G77" s="277"/>
      <c r="I77" s="15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55" t="s">
        <v>470</v>
      </c>
      <c r="B78" s="246" t="s">
        <v>473</v>
      </c>
      <c r="C78" s="246" t="s">
        <v>474</v>
      </c>
      <c r="D78" s="248" t="s">
        <v>475</v>
      </c>
      <c r="E78" s="248"/>
      <c r="F78" s="248"/>
      <c r="G78" s="248"/>
      <c r="I78" s="15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79"/>
      <c r="B79" s="282"/>
      <c r="C79" s="282"/>
      <c r="D79" s="282"/>
      <c r="E79" s="282"/>
      <c r="F79" s="282"/>
      <c r="G79" s="58"/>
      <c r="I79" s="15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55" t="s">
        <v>492</v>
      </c>
      <c r="B80" s="246" t="s">
        <v>337</v>
      </c>
      <c r="C80" s="246" t="s">
        <v>494</v>
      </c>
      <c r="D80" s="246" t="s">
        <v>498</v>
      </c>
      <c r="E80" s="248"/>
      <c r="F80" s="248"/>
      <c r="G80" s="263"/>
      <c r="I80" s="15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79"/>
      <c r="B81" s="282"/>
      <c r="C81" s="282"/>
      <c r="D81" s="282"/>
      <c r="E81" s="282"/>
      <c r="F81" s="282"/>
      <c r="G81" s="58"/>
      <c r="I81" s="15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22" t="s">
        <v>503</v>
      </c>
      <c r="B82" s="224" t="s">
        <v>345</v>
      </c>
      <c r="C82" s="224" t="s">
        <v>504</v>
      </c>
      <c r="D82" s="224" t="s">
        <v>347</v>
      </c>
      <c r="E82" s="223"/>
      <c r="F82" s="223"/>
      <c r="G82" s="223"/>
      <c r="I82" s="15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22" t="s">
        <v>505</v>
      </c>
      <c r="B83" s="224" t="s">
        <v>506</v>
      </c>
      <c r="C83" s="224" t="s">
        <v>507</v>
      </c>
      <c r="D83" s="224" t="s">
        <v>508</v>
      </c>
      <c r="E83" s="223"/>
      <c r="F83" s="223"/>
      <c r="G83" s="223"/>
      <c r="I83" s="15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22" t="s">
        <v>509</v>
      </c>
      <c r="B84" s="224" t="s">
        <v>353</v>
      </c>
      <c r="C84" s="224" t="s">
        <v>510</v>
      </c>
      <c r="D84" s="224" t="s">
        <v>355</v>
      </c>
      <c r="E84" s="223"/>
      <c r="F84" s="223"/>
      <c r="G84" s="223"/>
      <c r="I84" s="15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22" t="s">
        <v>511</v>
      </c>
      <c r="B85" s="224" t="s">
        <v>357</v>
      </c>
      <c r="C85" s="224" t="s">
        <v>512</v>
      </c>
      <c r="D85" s="223" t="s">
        <v>359</v>
      </c>
      <c r="E85" s="223"/>
      <c r="F85" s="223"/>
      <c r="G85" s="223"/>
      <c r="I85" s="15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22" t="s">
        <v>515</v>
      </c>
      <c r="B86" s="224" t="s">
        <v>365</v>
      </c>
      <c r="C86" s="224" t="s">
        <v>516</v>
      </c>
      <c r="D86" s="223" t="s">
        <v>518</v>
      </c>
      <c r="E86" s="223"/>
      <c r="F86" s="223"/>
      <c r="G86" s="223"/>
      <c r="I86" s="15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22" t="s">
        <v>520</v>
      </c>
      <c r="B87" s="224" t="s">
        <v>380</v>
      </c>
      <c r="C87" s="224" t="s">
        <v>521</v>
      </c>
      <c r="D87" s="224" t="s">
        <v>386</v>
      </c>
      <c r="E87" s="223"/>
      <c r="F87" s="223"/>
      <c r="G87" s="223"/>
      <c r="I87" s="15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22" t="s">
        <v>522</v>
      </c>
      <c r="B88" s="224" t="s">
        <v>401</v>
      </c>
      <c r="C88" s="224" t="s">
        <v>523</v>
      </c>
      <c r="D88" s="224" t="s">
        <v>403</v>
      </c>
      <c r="E88" s="223"/>
      <c r="F88" s="223"/>
      <c r="G88" s="223"/>
      <c r="I88" s="15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22" t="s">
        <v>524</v>
      </c>
      <c r="B89" s="224" t="s">
        <v>405</v>
      </c>
      <c r="C89" s="224" t="s">
        <v>525</v>
      </c>
      <c r="D89" s="224" t="s">
        <v>407</v>
      </c>
      <c r="E89" s="223"/>
      <c r="F89" s="223"/>
      <c r="G89" s="223"/>
      <c r="I89" s="15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22" t="s">
        <v>526</v>
      </c>
      <c r="B90" s="224" t="s">
        <v>412</v>
      </c>
      <c r="C90" s="224" t="s">
        <v>527</v>
      </c>
      <c r="D90" s="224" t="s">
        <v>414</v>
      </c>
      <c r="E90" s="223"/>
      <c r="F90" s="223"/>
      <c r="G90" s="223"/>
      <c r="I90" s="15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22" t="s">
        <v>528</v>
      </c>
      <c r="B91" s="224" t="s">
        <v>529</v>
      </c>
      <c r="C91" s="224" t="s">
        <v>530</v>
      </c>
      <c r="D91" s="224" t="s">
        <v>398</v>
      </c>
      <c r="E91" s="223"/>
      <c r="F91" s="223"/>
      <c r="G91" s="223"/>
      <c r="I91" s="15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22" t="s">
        <v>531</v>
      </c>
      <c r="B92" s="224" t="s">
        <v>421</v>
      </c>
      <c r="C92" s="224" t="s">
        <v>532</v>
      </c>
      <c r="D92" s="224" t="s">
        <v>426</v>
      </c>
      <c r="E92" s="223"/>
      <c r="F92" s="223"/>
      <c r="G92" s="223"/>
      <c r="I92" s="15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22" t="s">
        <v>533</v>
      </c>
      <c r="B93" s="224" t="s">
        <v>430</v>
      </c>
      <c r="C93" s="224" t="s">
        <v>534</v>
      </c>
      <c r="D93" s="224" t="s">
        <v>433</v>
      </c>
      <c r="E93" s="223"/>
      <c r="F93" s="223"/>
      <c r="G93" s="223"/>
      <c r="I93" s="15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22" t="s">
        <v>535</v>
      </c>
      <c r="B94" s="224" t="s">
        <v>437</v>
      </c>
      <c r="C94" s="224" t="s">
        <v>536</v>
      </c>
      <c r="D94" s="224" t="s">
        <v>442</v>
      </c>
      <c r="E94" s="223"/>
      <c r="F94" s="223"/>
      <c r="G94" s="223"/>
      <c r="I94" s="15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22" t="s">
        <v>537</v>
      </c>
      <c r="B95" s="224" t="s">
        <v>538</v>
      </c>
      <c r="C95" s="224" t="s">
        <v>539</v>
      </c>
      <c r="D95" s="224" t="s">
        <v>540</v>
      </c>
      <c r="E95" s="223"/>
      <c r="F95" s="223"/>
      <c r="G95" s="223"/>
      <c r="I95" s="15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22" t="s">
        <v>541</v>
      </c>
      <c r="B96" s="224" t="s">
        <v>542</v>
      </c>
      <c r="C96" s="224" t="s">
        <v>543</v>
      </c>
      <c r="D96" s="224" t="s">
        <v>544</v>
      </c>
      <c r="E96" s="223"/>
      <c r="F96" s="223"/>
      <c r="G96" s="223"/>
      <c r="I96" s="15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22" t="s">
        <v>545</v>
      </c>
      <c r="B97" s="224" t="s">
        <v>546</v>
      </c>
      <c r="C97" s="224" t="s">
        <v>547</v>
      </c>
      <c r="D97" s="224" t="s">
        <v>461</v>
      </c>
      <c r="E97" s="223"/>
      <c r="F97" s="223"/>
      <c r="G97" s="223"/>
      <c r="I97" s="15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22" t="s">
        <v>548</v>
      </c>
      <c r="B98" s="224" t="s">
        <v>549</v>
      </c>
      <c r="C98" s="224" t="s">
        <v>550</v>
      </c>
      <c r="D98" s="224" t="s">
        <v>551</v>
      </c>
      <c r="E98" s="223"/>
      <c r="F98" s="223"/>
      <c r="G98" s="223"/>
      <c r="I98" s="15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22" t="s">
        <v>552</v>
      </c>
      <c r="B99" s="224" t="s">
        <v>542</v>
      </c>
      <c r="C99" s="224" t="s">
        <v>553</v>
      </c>
      <c r="D99" s="224" t="s">
        <v>554</v>
      </c>
      <c r="E99" s="223"/>
      <c r="F99" s="223"/>
      <c r="G99" s="223"/>
      <c r="I99" s="15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22" t="s">
        <v>555</v>
      </c>
      <c r="B100" s="224" t="s">
        <v>556</v>
      </c>
      <c r="C100" s="224" t="s">
        <v>557</v>
      </c>
      <c r="D100" s="224" t="s">
        <v>479</v>
      </c>
      <c r="E100" s="223"/>
      <c r="F100" s="223"/>
      <c r="G100" s="223"/>
      <c r="I100" s="15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22" t="s">
        <v>559</v>
      </c>
      <c r="B101" s="224" t="s">
        <v>560</v>
      </c>
      <c r="C101" s="224" t="s">
        <v>561</v>
      </c>
      <c r="D101" s="224" t="s">
        <v>562</v>
      </c>
      <c r="E101" s="223"/>
      <c r="F101" s="223"/>
      <c r="G101" s="223"/>
      <c r="I101" s="15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22" t="s">
        <v>564</v>
      </c>
      <c r="B102" s="224" t="s">
        <v>542</v>
      </c>
      <c r="C102" s="224" t="s">
        <v>565</v>
      </c>
      <c r="D102" s="224" t="s">
        <v>566</v>
      </c>
      <c r="E102" s="223"/>
      <c r="F102" s="223"/>
      <c r="G102" s="223"/>
      <c r="I102" s="15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22" t="s">
        <v>567</v>
      </c>
      <c r="B103" s="224" t="s">
        <v>568</v>
      </c>
      <c r="C103" s="224" t="s">
        <v>569</v>
      </c>
      <c r="D103" s="224" t="s">
        <v>570</v>
      </c>
      <c r="E103" s="223"/>
      <c r="F103" s="223"/>
      <c r="G103" s="223"/>
      <c r="I103" s="15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22" t="s">
        <v>571</v>
      </c>
      <c r="B104" s="224" t="s">
        <v>572</v>
      </c>
      <c r="C104" s="224" t="s">
        <v>573</v>
      </c>
      <c r="D104" s="224" t="s">
        <v>574</v>
      </c>
      <c r="E104" s="223"/>
      <c r="F104" s="223"/>
      <c r="G104" s="223"/>
      <c r="I104" s="15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22" t="s">
        <v>575</v>
      </c>
      <c r="B105" s="224" t="s">
        <v>495</v>
      </c>
      <c r="C105" s="224" t="s">
        <v>576</v>
      </c>
      <c r="D105" s="285" t="s">
        <v>577</v>
      </c>
      <c r="E105" s="223"/>
      <c r="F105" s="223"/>
      <c r="G105" s="223"/>
      <c r="I105" s="15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22" t="s">
        <v>578</v>
      </c>
      <c r="B106" s="224" t="s">
        <v>579</v>
      </c>
      <c r="C106" s="224" t="s">
        <v>580</v>
      </c>
      <c r="D106" s="224" t="s">
        <v>502</v>
      </c>
      <c r="E106" s="223"/>
      <c r="F106" s="223"/>
      <c r="G106" s="223"/>
      <c r="I106" s="15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55" t="s">
        <v>581</v>
      </c>
      <c r="B107" s="246" t="s">
        <v>582</v>
      </c>
      <c r="C107" s="246" t="s">
        <v>583</v>
      </c>
      <c r="D107" s="246" t="s">
        <v>519</v>
      </c>
      <c r="E107" s="223"/>
      <c r="F107" s="223"/>
      <c r="G107" s="223"/>
      <c r="I107" s="15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79"/>
      <c r="B108" s="282"/>
      <c r="C108" s="282"/>
      <c r="D108" s="282"/>
      <c r="E108" s="223"/>
      <c r="F108" s="223"/>
      <c r="G108" s="223"/>
      <c r="I108" s="15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86"/>
      <c r="C109" s="286"/>
      <c r="D109" s="286"/>
      <c r="E109" s="286"/>
      <c r="F109" s="2"/>
      <c r="G109" s="2"/>
      <c r="H109" s="2"/>
      <c r="I109" s="15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15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15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15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15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15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15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15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15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15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15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15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15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15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15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15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15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15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15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15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15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15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15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15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15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15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15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15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15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15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15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15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15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15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154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15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15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15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15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15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15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15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15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15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154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15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154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15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154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15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15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15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154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15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15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15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15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15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15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15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15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15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15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15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15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15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15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15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15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15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154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15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154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15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154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15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154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15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154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15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154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15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154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15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154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15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154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15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15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15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15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15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15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15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15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15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15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15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15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15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15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15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15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15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15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15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15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15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15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15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15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15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15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15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15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15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15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15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15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15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15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15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15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15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15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15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15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15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15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15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15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15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154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15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154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15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15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15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15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15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15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15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15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15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15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15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15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15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15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15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15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15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15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15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15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15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15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15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154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15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154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15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15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15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154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15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154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15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15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15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154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15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154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15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154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15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154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15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154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15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15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15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15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15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154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15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154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15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154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15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154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15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154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15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154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15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15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15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15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15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15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15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15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15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154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15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154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15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154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15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154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15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154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15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154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15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154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15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15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15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15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15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15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15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15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15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154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15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154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15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154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15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15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15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15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15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15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15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15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15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15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15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15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15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15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15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15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15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15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15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15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15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15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15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15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15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15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15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154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15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154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15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154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154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154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15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15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15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15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15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15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15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15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15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15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15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15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15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15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15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15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15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15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15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15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15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15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15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15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15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15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15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154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15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154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154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154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15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154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15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154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15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154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15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154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15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154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15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154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15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154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15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15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15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154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15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15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15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154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15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154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15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154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15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154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154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154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154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154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154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154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154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154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154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154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154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154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154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154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154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154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154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154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154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154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154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154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154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154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154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154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154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154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154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154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154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154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154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154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154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154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154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154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154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154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154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154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154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154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154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154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154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154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154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154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154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154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154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154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154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154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154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154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154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154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154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154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154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154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154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154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15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154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15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15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15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15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15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15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15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15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15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15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15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15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15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15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15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15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15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15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15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15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15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15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15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15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15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15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15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15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15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15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15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15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15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15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15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15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15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15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15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15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15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15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15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15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15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15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15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15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15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15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15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15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15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15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15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15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15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15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15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15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15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15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15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15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15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15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15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15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15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15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15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15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15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15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15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15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15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15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15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15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15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15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15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15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15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15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15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15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15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15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15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15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15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15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15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15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15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15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15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15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15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15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15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15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15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15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15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15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15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15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15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15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15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15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15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15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15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15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15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15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15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15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15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15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15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15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15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15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15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15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15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15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15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15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15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15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15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15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15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15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15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15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15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15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15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15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15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15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15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15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15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15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15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15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15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15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15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15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15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15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15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15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15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15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15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15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15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15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15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15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15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15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15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15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15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15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15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15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15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15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15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15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15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15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15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15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15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15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15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15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15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15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15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15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15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15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15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15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15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15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15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15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15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15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15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15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15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15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15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15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15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15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15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15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15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15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15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15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15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15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15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15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15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15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15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15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15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15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15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15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15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15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15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15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15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15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15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15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15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15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15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15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15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15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15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15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15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15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15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15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15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15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15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15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15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15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15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15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15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15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15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15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15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15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15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15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15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15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15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15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15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15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15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15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15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15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15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15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15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15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15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15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15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15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15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15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15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15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15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15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15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15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15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15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15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15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15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15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15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15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15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15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15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15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15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15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15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15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15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15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15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15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15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15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15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15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15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15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15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15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15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15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15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15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15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15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15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15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15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15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15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15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15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15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15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15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15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15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15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15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15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15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15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15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15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15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15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15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15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15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15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15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15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15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15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15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15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15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15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15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15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15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15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15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15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15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15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15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15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15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15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15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15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15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15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15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15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15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15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15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15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15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15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15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15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15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15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15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15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15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15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15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15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15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15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15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15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15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15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15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15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15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15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15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15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15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15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15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15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15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15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15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15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15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15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15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15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15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15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15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15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15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15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15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15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15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15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15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15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15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15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15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15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15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15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15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15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</sheetData>
  <mergeCells count="39">
    <mergeCell ref="E22:E23"/>
    <mergeCell ref="A18:A20"/>
    <mergeCell ref="B18:B20"/>
    <mergeCell ref="A78:A79"/>
    <mergeCell ref="A34:A35"/>
    <mergeCell ref="E34:E35"/>
    <mergeCell ref="B46:B49"/>
    <mergeCell ref="F78:F79"/>
    <mergeCell ref="C78:C79"/>
    <mergeCell ref="D78:D79"/>
    <mergeCell ref="E78:E79"/>
    <mergeCell ref="A80:A81"/>
    <mergeCell ref="E80:E81"/>
    <mergeCell ref="F80:F81"/>
    <mergeCell ref="F22:F23"/>
    <mergeCell ref="G22:G23"/>
    <mergeCell ref="B2:F2"/>
    <mergeCell ref="G78:G79"/>
    <mergeCell ref="G80:G81"/>
    <mergeCell ref="B80:B81"/>
    <mergeCell ref="C80:C81"/>
    <mergeCell ref="B78:B79"/>
    <mergeCell ref="A107:A108"/>
    <mergeCell ref="B107:B108"/>
    <mergeCell ref="C107:C108"/>
    <mergeCell ref="D107:D108"/>
    <mergeCell ref="D80:D81"/>
    <mergeCell ref="B3:F3"/>
    <mergeCell ref="B4:F4"/>
    <mergeCell ref="E5:F5"/>
    <mergeCell ref="E6:F6"/>
    <mergeCell ref="A10:A17"/>
    <mergeCell ref="B10:B17"/>
    <mergeCell ref="C22:C23"/>
    <mergeCell ref="D22:D23"/>
    <mergeCell ref="B22:B23"/>
    <mergeCell ref="A22:A23"/>
    <mergeCell ref="F34:F35"/>
    <mergeCell ref="G34:G35"/>
  </mergeCells>
  <dataValidations>
    <dataValidation type="list" allowBlank="1" showErrorMessage="1" sqref="F65:F78 F80 F82:F108">
      <formula1>"Pass,Fail,Untested,N/A"</formula1>
    </dataValidation>
    <dataValidation type="list" allowBlank="1" showErrorMessage="1" sqref="F1 F7:F22 F24:F34 F36:F64">
      <formula1>$J$2:$J$6</formula1>
    </dataValidation>
  </dataValidations>
  <printOptions/>
  <pageMargins bottom="0.9840277777777777" footer="0.0" header="0.0" left="0.7479166666666667" right="0.25" top="0.75"/>
  <pageSetup paperSize="9" scale="7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